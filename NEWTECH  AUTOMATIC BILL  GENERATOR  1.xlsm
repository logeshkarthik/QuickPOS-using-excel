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Default Extension="jpeg" ContentType="image/jpeg"/>
  <Default Extension="emf" ContentType="image/x-emf"/>
  <Override PartName="/xl/vbaProject.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0" yWindow="0" windowWidth="15480" windowHeight="11640"/>
  </bookViews>
  <sheets>
    <sheet name="My_Sheet" sheetId="1" r:id="rId1"/>
    <sheet name="Customers" sheetId="2" r:id="rId2"/>
    <sheet name="Products" sheetId="3" r:id="rId3"/>
    <sheet name="Sales Report" sheetId="4" r:id="rId4"/>
    <sheet name="rough sheet" sheetId="7" r:id="rId5"/>
    <sheet name="INSTRUCTIONS &amp; DEVELOPER INFO" sheetId="6" r:id="rId6"/>
  </sheets>
  <functionGroups/>
  <definedNames>
    <definedName name="_xlnm._FilterDatabase" localSheetId="3" hidden="1">'Sales Report'!$A$1:$I$1</definedName>
    <definedName name="CUSTOMER">Table1[Name]</definedName>
    <definedName name="customer_easy_list">OFFSET(Customers!$G$2,,,COUNTIF(Customers!$G$2:$G$1000,"?*"))</definedName>
    <definedName name="_xlnm.Print_Area" localSheetId="0">My_Sheet!$A$1:$F$42</definedName>
    <definedName name="product_easy_search">IFERROR(OFFSET(My_Sheet!$G$2,,,COUNTIF(My_Sheet!$G$2:$G$1048576,"?*")),"")</definedName>
    <definedName name="PRODUCTS">Table2[PRODUCT]</definedName>
  </definedNames>
  <calcPr calcId="124519" iterate="1"/>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E29" i="1"/>
  <c r="B12"/>
  <c r="E14"/>
  <c r="E15"/>
  <c r="E16"/>
  <c r="E17"/>
  <c r="E18"/>
  <c r="E19"/>
  <c r="E20"/>
  <c r="E21"/>
  <c r="E22"/>
  <c r="E23"/>
  <c r="E24"/>
  <c r="E25"/>
  <c r="E26"/>
  <c r="E27"/>
  <c r="E28"/>
  <c r="A98" i="3" l="1"/>
  <c r="A99" s="1"/>
  <c r="C14" i="1"/>
  <c r="A20"/>
  <c r="B9"/>
  <c r="A23"/>
  <c r="G2" i="3"/>
  <c r="F25" i="1"/>
  <c r="A15" l="1"/>
  <c r="C15"/>
  <c r="A16"/>
  <c r="C16"/>
  <c r="A17"/>
  <c r="C17"/>
  <c r="A18"/>
  <c r="C18"/>
  <c r="A19"/>
  <c r="C19"/>
  <c r="C20"/>
  <c r="A21"/>
  <c r="C21"/>
  <c r="A22"/>
  <c r="C22"/>
  <c r="C23"/>
  <c r="A24"/>
  <c r="C24"/>
  <c r="A25"/>
  <c r="C25"/>
  <c r="A26"/>
  <c r="C26"/>
  <c r="A27"/>
  <c r="C27"/>
  <c r="A28"/>
  <c r="C28"/>
  <c r="A29"/>
  <c r="C29"/>
  <c r="A14" l="1"/>
  <c r="A55" i="2"/>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2"/>
  <c r="F29" i="1"/>
  <c r="A3" i="2" l="1"/>
  <c r="A4" s="1"/>
  <c r="A5" l="1"/>
  <c r="A6" s="1"/>
  <c r="H2" i="3"/>
  <c r="A7" i="2" l="1"/>
  <c r="A8" s="1"/>
  <c r="A9" l="1"/>
  <c r="A10" s="1"/>
  <c r="A11" l="1"/>
  <c r="A12" s="1"/>
  <c r="A13" l="1"/>
  <c r="A14" s="1"/>
  <c r="A15" s="1"/>
  <c r="A16" s="1"/>
  <c r="A17" l="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F24" i="1"/>
  <c r="F14"/>
  <c r="F15"/>
  <c r="F16"/>
  <c r="F17"/>
  <c r="F18"/>
  <c r="F19"/>
  <c r="F20"/>
  <c r="F21"/>
  <c r="F22"/>
  <c r="F23"/>
  <c r="F26"/>
  <c r="F27"/>
  <c r="F28"/>
  <c r="F31" l="1"/>
  <c r="G8"/>
  <c r="F33" l="1"/>
  <c r="F32"/>
  <c r="F34"/>
  <c r="G87" i="2"/>
  <c r="G3"/>
  <c r="G2"/>
  <c r="G79"/>
  <c r="G20"/>
  <c r="G52"/>
  <c r="G40"/>
  <c r="G23"/>
  <c r="G85"/>
  <c r="G70"/>
  <c r="G86"/>
  <c r="G74"/>
  <c r="G64"/>
  <c r="G31"/>
  <c r="G32"/>
  <c r="G71"/>
  <c r="G33"/>
  <c r="G83"/>
  <c r="G84"/>
  <c r="G77"/>
  <c r="G82"/>
  <c r="G90"/>
  <c r="G39"/>
  <c r="G78"/>
  <c r="G49"/>
  <c r="G68"/>
  <c r="G36"/>
  <c r="G5"/>
  <c r="G4"/>
  <c r="G6"/>
  <c r="G8"/>
  <c r="G9"/>
  <c r="G10"/>
  <c r="G11"/>
  <c r="G7"/>
  <c r="G12"/>
  <c r="G14"/>
  <c r="G25"/>
  <c r="G15"/>
  <c r="G60"/>
  <c r="G27"/>
  <c r="G62"/>
  <c r="G18"/>
  <c r="G56"/>
  <c r="G73"/>
  <c r="G41"/>
  <c r="G45"/>
  <c r="G76"/>
  <c r="G59"/>
  <c r="G72"/>
  <c r="G22"/>
  <c r="G34"/>
  <c r="G53"/>
  <c r="G80"/>
  <c r="G19"/>
  <c r="G21"/>
  <c r="G47"/>
  <c r="G17"/>
  <c r="G46"/>
  <c r="G28"/>
  <c r="G75"/>
  <c r="G48"/>
  <c r="G42"/>
  <c r="G65"/>
  <c r="G16"/>
  <c r="G61"/>
  <c r="G54"/>
  <c r="G58"/>
  <c r="G13"/>
  <c r="G69"/>
  <c r="G57"/>
  <c r="G67"/>
  <c r="G29"/>
  <c r="G51"/>
  <c r="G35"/>
  <c r="G38"/>
  <c r="G88"/>
  <c r="G44"/>
  <c r="G26"/>
  <c r="G89"/>
  <c r="G66"/>
  <c r="G24"/>
  <c r="G55"/>
  <c r="G63"/>
  <c r="G37"/>
  <c r="G81"/>
  <c r="G50"/>
  <c r="G30"/>
  <c r="G43"/>
  <c r="H2" l="1"/>
  <c r="F35" i="1" l="1"/>
  <c r="F36"/>
  <c r="A35"/>
</calcChain>
</file>

<file path=xl/comments1.xml><?xml version="1.0" encoding="utf-8"?>
<comments xmlns="http://schemas.openxmlformats.org/spreadsheetml/2006/main">
  <authors>
    <author>Selva</author>
  </authors>
  <commentList>
    <comment ref="E8" authorId="0">
      <text>
        <r>
          <rPr>
            <b/>
            <sz val="9"/>
            <color indexed="81"/>
            <rFont val="Tahoma"/>
            <family val="2"/>
          </rPr>
          <t xml:space="preserve">NOTE:  If you change the invoice number .
The next invoice number will automatically
change to the next number after exporting. </t>
        </r>
      </text>
    </comment>
    <comment ref="E34" authorId="0">
      <text>
        <r>
          <rPr>
            <b/>
            <sz val="9"/>
            <color indexed="81"/>
            <rFont val="Tahoma"/>
            <family val="2"/>
          </rPr>
          <t>ENTER THE IGST NUMBER MANUALLY</t>
        </r>
      </text>
    </comment>
  </commentList>
</comments>
</file>

<file path=xl/comments2.xml><?xml version="1.0" encoding="utf-8"?>
<comments xmlns="http://schemas.openxmlformats.org/spreadsheetml/2006/main">
  <authors>
    <author>Selva</author>
  </authors>
  <commentList>
    <comment ref="A2" authorId="0">
      <text>
        <r>
          <rPr>
            <b/>
            <sz val="9"/>
            <color indexed="81"/>
            <rFont val="Tahoma"/>
            <family val="2"/>
          </rPr>
          <t>NOTE: 
DO NOT MAKE ANY CHANGES TO THIS COLUMN</t>
        </r>
      </text>
    </comment>
    <comment ref="F2" authorId="0">
      <text>
        <r>
          <rPr>
            <b/>
            <sz val="9"/>
            <color indexed="81"/>
            <rFont val="Tahoma"/>
            <family val="2"/>
          </rPr>
          <t>NOTE: 
DO NOT MAKE ANY CHANGES TO THIS COLUMN</t>
        </r>
      </text>
    </comment>
    <comment ref="G2" authorId="0">
      <text>
        <r>
          <rPr>
            <b/>
            <sz val="9"/>
            <color indexed="81"/>
            <rFont val="Tahoma"/>
            <family val="2"/>
          </rPr>
          <t>NOTE: 
DO NOT MAKE ANY CHANGES TO THIS COLUMN</t>
        </r>
      </text>
    </comment>
    <comment ref="H2" authorId="0">
      <text>
        <r>
          <rPr>
            <b/>
            <sz val="9"/>
            <color indexed="81"/>
            <rFont val="Tahoma"/>
            <family val="2"/>
          </rPr>
          <t>NOTE: 
DO NOT MAKE ANY CHANGES TO THIS COLUMN</t>
        </r>
      </text>
    </comment>
    <comment ref="A3" authorId="0">
      <text>
        <r>
          <rPr>
            <b/>
            <sz val="9"/>
            <color indexed="81"/>
            <rFont val="Tahoma"/>
            <family val="2"/>
          </rPr>
          <t>NOTE: 
DO NOT MAKE ANY CHANGES TO THIS COLUMN</t>
        </r>
      </text>
    </comment>
    <comment ref="F3" authorId="0">
      <text>
        <r>
          <rPr>
            <b/>
            <sz val="9"/>
            <color indexed="81"/>
            <rFont val="Tahoma"/>
            <family val="2"/>
          </rPr>
          <t>NOTE: 
DO NOT MAKE ANY CHANGES TO THIS COLUMN</t>
        </r>
      </text>
    </comment>
    <comment ref="G3" authorId="0">
      <text>
        <r>
          <rPr>
            <b/>
            <sz val="9"/>
            <color indexed="81"/>
            <rFont val="Tahoma"/>
            <family val="2"/>
          </rPr>
          <t>NOTE: 
DO NOT MAKE ANY CHANGES TO THIS COLUMN</t>
        </r>
      </text>
    </comment>
    <comment ref="H3" authorId="0">
      <text>
        <r>
          <rPr>
            <b/>
            <sz val="9"/>
            <color indexed="81"/>
            <rFont val="Tahoma"/>
            <family val="2"/>
          </rPr>
          <t>NOTE: 
DO NOT MAKE ANY CHANGES TO THIS COLUMN</t>
        </r>
      </text>
    </comment>
    <comment ref="A4" authorId="0">
      <text>
        <r>
          <rPr>
            <b/>
            <sz val="9"/>
            <color indexed="81"/>
            <rFont val="Tahoma"/>
            <family val="2"/>
          </rPr>
          <t>NOTE: 
DO NOT MAKE ANY CHANGES TO THIS COLUMN</t>
        </r>
      </text>
    </comment>
    <comment ref="F4" authorId="0">
      <text>
        <r>
          <rPr>
            <b/>
            <sz val="9"/>
            <color indexed="81"/>
            <rFont val="Tahoma"/>
            <family val="2"/>
          </rPr>
          <t>NOTE: 
DO NOT MAKE ANY CHANGES TO THIS COLUMN</t>
        </r>
      </text>
    </comment>
    <comment ref="G4" authorId="0">
      <text>
        <r>
          <rPr>
            <b/>
            <sz val="9"/>
            <color indexed="81"/>
            <rFont val="Tahoma"/>
            <family val="2"/>
          </rPr>
          <t>NOTE: 
DO NOT MAKE ANY CHANGES TO THIS COLUMN</t>
        </r>
      </text>
    </comment>
    <comment ref="H4" authorId="0">
      <text>
        <r>
          <rPr>
            <b/>
            <sz val="9"/>
            <color indexed="81"/>
            <rFont val="Tahoma"/>
            <family val="2"/>
          </rPr>
          <t>NOTE: 
DO NOT MAKE ANY CHANGES TO THIS COLUMN</t>
        </r>
      </text>
    </comment>
    <comment ref="A5" authorId="0">
      <text>
        <r>
          <rPr>
            <b/>
            <sz val="9"/>
            <color indexed="81"/>
            <rFont val="Tahoma"/>
            <family val="2"/>
          </rPr>
          <t>NOTE: 
DO NOT MAKE ANY CHANGES TO THIS COLUMN</t>
        </r>
      </text>
    </comment>
    <comment ref="F5" authorId="0">
      <text>
        <r>
          <rPr>
            <b/>
            <sz val="9"/>
            <color indexed="81"/>
            <rFont val="Tahoma"/>
            <family val="2"/>
          </rPr>
          <t>NOTE: 
DO NOT MAKE ANY CHANGES TO THIS COLUMN</t>
        </r>
      </text>
    </comment>
    <comment ref="G5" authorId="0">
      <text>
        <r>
          <rPr>
            <b/>
            <sz val="9"/>
            <color indexed="81"/>
            <rFont val="Tahoma"/>
            <family val="2"/>
          </rPr>
          <t>NOTE: 
DO NOT MAKE ANY CHANGES TO THIS COLUMN</t>
        </r>
      </text>
    </comment>
    <comment ref="H5" authorId="0">
      <text>
        <r>
          <rPr>
            <b/>
            <sz val="9"/>
            <color indexed="81"/>
            <rFont val="Tahoma"/>
            <family val="2"/>
          </rPr>
          <t>NOTE: 
DO NOT MAKE ANY CHANGES TO THIS COLUMN</t>
        </r>
      </text>
    </comment>
    <comment ref="A6" authorId="0">
      <text>
        <r>
          <rPr>
            <b/>
            <sz val="9"/>
            <color indexed="81"/>
            <rFont val="Tahoma"/>
            <family val="2"/>
          </rPr>
          <t>NOTE: 
DO NOT MAKE ANY CHANGES TO THIS COLUMN</t>
        </r>
      </text>
    </comment>
    <comment ref="F6" authorId="0">
      <text>
        <r>
          <rPr>
            <b/>
            <sz val="9"/>
            <color indexed="81"/>
            <rFont val="Tahoma"/>
            <family val="2"/>
          </rPr>
          <t>NOTE: 
DO NOT MAKE ANY CHANGES TO THIS COLUMN</t>
        </r>
      </text>
    </comment>
    <comment ref="G6" authorId="0">
      <text>
        <r>
          <rPr>
            <b/>
            <sz val="9"/>
            <color indexed="81"/>
            <rFont val="Tahoma"/>
            <family val="2"/>
          </rPr>
          <t>NOTE: 
DO NOT MAKE ANY CHANGES TO THIS COLUMN</t>
        </r>
      </text>
    </comment>
    <comment ref="H6" authorId="0">
      <text>
        <r>
          <rPr>
            <b/>
            <sz val="9"/>
            <color indexed="81"/>
            <rFont val="Tahoma"/>
            <family val="2"/>
          </rPr>
          <t>NOTE: 
DO NOT MAKE ANY CHANGES TO THIS COLUMN</t>
        </r>
      </text>
    </comment>
    <comment ref="A7" authorId="0">
      <text>
        <r>
          <rPr>
            <b/>
            <sz val="9"/>
            <color indexed="81"/>
            <rFont val="Tahoma"/>
            <family val="2"/>
          </rPr>
          <t>NOTE: 
DO NOT MAKE ANY CHANGES TO THIS COLUMN</t>
        </r>
      </text>
    </comment>
    <comment ref="F7" authorId="0">
      <text>
        <r>
          <rPr>
            <b/>
            <sz val="9"/>
            <color indexed="81"/>
            <rFont val="Tahoma"/>
            <family val="2"/>
          </rPr>
          <t>NOTE: 
DO NOT MAKE ANY CHANGES TO THIS COLUMN</t>
        </r>
      </text>
    </comment>
    <comment ref="G7" authorId="0">
      <text>
        <r>
          <rPr>
            <b/>
            <sz val="9"/>
            <color indexed="81"/>
            <rFont val="Tahoma"/>
            <family val="2"/>
          </rPr>
          <t>NOTE: 
DO NOT MAKE ANY CHANGES TO THIS COLUMN</t>
        </r>
      </text>
    </comment>
    <comment ref="H7" authorId="0">
      <text>
        <r>
          <rPr>
            <b/>
            <sz val="9"/>
            <color indexed="81"/>
            <rFont val="Tahoma"/>
            <family val="2"/>
          </rPr>
          <t>NOTE: 
DO NOT MAKE ANY CHANGES TO THIS COLUMN</t>
        </r>
      </text>
    </comment>
    <comment ref="A8" authorId="0">
      <text>
        <r>
          <rPr>
            <b/>
            <sz val="9"/>
            <color indexed="81"/>
            <rFont val="Tahoma"/>
            <family val="2"/>
          </rPr>
          <t>NOTE: 
DO NOT MAKE ANY CHANGES TO THIS COLUMN</t>
        </r>
      </text>
    </comment>
    <comment ref="F8" authorId="0">
      <text>
        <r>
          <rPr>
            <b/>
            <sz val="9"/>
            <color indexed="81"/>
            <rFont val="Tahoma"/>
            <family val="2"/>
          </rPr>
          <t>NOTE: 
DO NOT MAKE ANY CHANGES TO THIS COLUMN</t>
        </r>
      </text>
    </comment>
    <comment ref="G8" authorId="0">
      <text>
        <r>
          <rPr>
            <b/>
            <sz val="9"/>
            <color indexed="81"/>
            <rFont val="Tahoma"/>
            <family val="2"/>
          </rPr>
          <t>NOTE: 
DO NOT MAKE ANY CHANGES TO THIS COLUMN</t>
        </r>
      </text>
    </comment>
    <comment ref="H8" authorId="0">
      <text>
        <r>
          <rPr>
            <b/>
            <sz val="9"/>
            <color indexed="81"/>
            <rFont val="Tahoma"/>
            <family val="2"/>
          </rPr>
          <t>NOTE: 
DO NOT MAKE ANY CHANGES TO THIS COLUMN</t>
        </r>
      </text>
    </comment>
    <comment ref="A9" authorId="0">
      <text>
        <r>
          <rPr>
            <b/>
            <sz val="9"/>
            <color indexed="81"/>
            <rFont val="Tahoma"/>
            <family val="2"/>
          </rPr>
          <t>NOTE: 
DO NOT MAKE ANY CHANGES TO THIS COLUMN</t>
        </r>
      </text>
    </comment>
    <comment ref="F9" authorId="0">
      <text>
        <r>
          <rPr>
            <b/>
            <sz val="9"/>
            <color indexed="81"/>
            <rFont val="Tahoma"/>
            <family val="2"/>
          </rPr>
          <t>NOTE: 
DO NOT MAKE ANY CHANGES TO THIS COLUMN</t>
        </r>
      </text>
    </comment>
    <comment ref="G9" authorId="0">
      <text>
        <r>
          <rPr>
            <b/>
            <sz val="9"/>
            <color indexed="81"/>
            <rFont val="Tahoma"/>
            <family val="2"/>
          </rPr>
          <t>NOTE: 
DO NOT MAKE ANY CHANGES TO THIS COLUMN</t>
        </r>
      </text>
    </comment>
    <comment ref="H9" authorId="0">
      <text>
        <r>
          <rPr>
            <b/>
            <sz val="9"/>
            <color indexed="81"/>
            <rFont val="Tahoma"/>
            <family val="2"/>
          </rPr>
          <t>NOTE: 
DO NOT MAKE ANY CHANGES TO THIS COLUMN</t>
        </r>
      </text>
    </comment>
    <comment ref="A10" authorId="0">
      <text>
        <r>
          <rPr>
            <b/>
            <sz val="9"/>
            <color indexed="81"/>
            <rFont val="Tahoma"/>
            <family val="2"/>
          </rPr>
          <t>NOTE: 
DO NOT MAKE ANY CHANGES TO THIS COLUMN</t>
        </r>
      </text>
    </comment>
    <comment ref="F10" authorId="0">
      <text>
        <r>
          <rPr>
            <b/>
            <sz val="9"/>
            <color indexed="81"/>
            <rFont val="Tahoma"/>
            <family val="2"/>
          </rPr>
          <t>NOTE: 
DO NOT MAKE ANY CHANGES TO THIS COLUMN</t>
        </r>
      </text>
    </comment>
    <comment ref="G10" authorId="0">
      <text>
        <r>
          <rPr>
            <b/>
            <sz val="9"/>
            <color indexed="81"/>
            <rFont val="Tahoma"/>
            <family val="2"/>
          </rPr>
          <t>NOTE: 
DO NOT MAKE ANY CHANGES TO THIS COLUMN</t>
        </r>
      </text>
    </comment>
    <comment ref="H10" authorId="0">
      <text>
        <r>
          <rPr>
            <b/>
            <sz val="9"/>
            <color indexed="81"/>
            <rFont val="Tahoma"/>
            <family val="2"/>
          </rPr>
          <t>NOTE: 
DO NOT MAKE ANY CHANGES TO THIS COLUMN</t>
        </r>
      </text>
    </comment>
    <comment ref="A11" authorId="0">
      <text>
        <r>
          <rPr>
            <b/>
            <sz val="9"/>
            <color indexed="81"/>
            <rFont val="Tahoma"/>
            <family val="2"/>
          </rPr>
          <t>NOTE: 
DO NOT MAKE ANY CHANGES TO THIS COLUMN</t>
        </r>
      </text>
    </comment>
    <comment ref="F11" authorId="0">
      <text>
        <r>
          <rPr>
            <b/>
            <sz val="9"/>
            <color indexed="81"/>
            <rFont val="Tahoma"/>
            <family val="2"/>
          </rPr>
          <t>NOTE: 
DO NOT MAKE ANY CHANGES TO THIS COLUMN</t>
        </r>
      </text>
    </comment>
    <comment ref="G11" authorId="0">
      <text>
        <r>
          <rPr>
            <b/>
            <sz val="9"/>
            <color indexed="81"/>
            <rFont val="Tahoma"/>
            <family val="2"/>
          </rPr>
          <t>NOTE: 
DO NOT MAKE ANY CHANGES TO THIS COLUMN</t>
        </r>
      </text>
    </comment>
    <comment ref="H11" authorId="0">
      <text>
        <r>
          <rPr>
            <b/>
            <sz val="9"/>
            <color indexed="81"/>
            <rFont val="Tahoma"/>
            <family val="2"/>
          </rPr>
          <t>NOTE: 
DO NOT MAKE ANY CHANGES TO THIS COLUMN</t>
        </r>
      </text>
    </comment>
    <comment ref="A12" authorId="0">
      <text>
        <r>
          <rPr>
            <b/>
            <sz val="9"/>
            <color indexed="81"/>
            <rFont val="Tahoma"/>
            <family val="2"/>
          </rPr>
          <t>NOTE: 
DO NOT MAKE ANY CHANGES TO THIS COLUMN</t>
        </r>
      </text>
    </comment>
    <comment ref="F12" authorId="0">
      <text>
        <r>
          <rPr>
            <b/>
            <sz val="9"/>
            <color indexed="81"/>
            <rFont val="Tahoma"/>
            <family val="2"/>
          </rPr>
          <t>NOTE: 
DO NOT MAKE ANY CHANGES TO THIS COLUMN</t>
        </r>
      </text>
    </comment>
    <comment ref="G12" authorId="0">
      <text>
        <r>
          <rPr>
            <b/>
            <sz val="9"/>
            <color indexed="81"/>
            <rFont val="Tahoma"/>
            <family val="2"/>
          </rPr>
          <t>NOTE: 
DO NOT MAKE ANY CHANGES TO THIS COLUMN</t>
        </r>
      </text>
    </comment>
    <comment ref="H12" authorId="0">
      <text>
        <r>
          <rPr>
            <b/>
            <sz val="9"/>
            <color indexed="81"/>
            <rFont val="Tahoma"/>
            <family val="2"/>
          </rPr>
          <t>NOTE: 
DO NOT MAKE ANY CHANGES TO THIS COLUMN</t>
        </r>
      </text>
    </comment>
    <comment ref="A13" authorId="0">
      <text>
        <r>
          <rPr>
            <b/>
            <sz val="9"/>
            <color indexed="81"/>
            <rFont val="Tahoma"/>
            <family val="2"/>
          </rPr>
          <t>NOTE: 
DO NOT MAKE ANY CHANGES TO THIS COLUMN</t>
        </r>
      </text>
    </comment>
    <comment ref="F13" authorId="0">
      <text>
        <r>
          <rPr>
            <b/>
            <sz val="9"/>
            <color indexed="81"/>
            <rFont val="Tahoma"/>
            <family val="2"/>
          </rPr>
          <t>NOTE: 
DO NOT MAKE ANY CHANGES TO THIS COLUMN</t>
        </r>
      </text>
    </comment>
    <comment ref="G13" authorId="0">
      <text>
        <r>
          <rPr>
            <b/>
            <sz val="9"/>
            <color indexed="81"/>
            <rFont val="Tahoma"/>
            <family val="2"/>
          </rPr>
          <t>NOTE: 
DO NOT MAKE ANY CHANGES TO THIS COLUMN</t>
        </r>
      </text>
    </comment>
    <comment ref="H13" authorId="0">
      <text>
        <r>
          <rPr>
            <b/>
            <sz val="9"/>
            <color indexed="81"/>
            <rFont val="Tahoma"/>
            <family val="2"/>
          </rPr>
          <t>NOTE: 
DO NOT MAKE ANY CHANGES TO THIS COLUMN</t>
        </r>
      </text>
    </comment>
    <comment ref="A14" authorId="0">
      <text>
        <r>
          <rPr>
            <b/>
            <sz val="9"/>
            <color indexed="81"/>
            <rFont val="Tahoma"/>
            <family val="2"/>
          </rPr>
          <t>NOTE: 
DO NOT MAKE ANY CHANGES TO THIS COLUMN</t>
        </r>
      </text>
    </comment>
    <comment ref="F14" authorId="0">
      <text>
        <r>
          <rPr>
            <b/>
            <sz val="9"/>
            <color indexed="81"/>
            <rFont val="Tahoma"/>
            <family val="2"/>
          </rPr>
          <t>NOTE: 
DO NOT MAKE ANY CHANGES TO THIS COLUMN</t>
        </r>
      </text>
    </comment>
    <comment ref="G14" authorId="0">
      <text>
        <r>
          <rPr>
            <b/>
            <sz val="9"/>
            <color indexed="81"/>
            <rFont val="Tahoma"/>
            <family val="2"/>
          </rPr>
          <t>NOTE: 
DO NOT MAKE ANY CHANGES TO THIS COLUMN</t>
        </r>
      </text>
    </comment>
    <comment ref="H14" authorId="0">
      <text>
        <r>
          <rPr>
            <b/>
            <sz val="9"/>
            <color indexed="81"/>
            <rFont val="Tahoma"/>
            <family val="2"/>
          </rPr>
          <t>NOTE: 
DO NOT MAKE ANY CHANGES TO THIS COLUMN</t>
        </r>
      </text>
    </comment>
    <comment ref="A15" authorId="0">
      <text>
        <r>
          <rPr>
            <b/>
            <sz val="9"/>
            <color indexed="81"/>
            <rFont val="Tahoma"/>
            <family val="2"/>
          </rPr>
          <t>NOTE: 
DO NOT MAKE ANY CHANGES TO THIS COLUMN</t>
        </r>
      </text>
    </comment>
    <comment ref="F15" authorId="0">
      <text>
        <r>
          <rPr>
            <b/>
            <sz val="9"/>
            <color indexed="81"/>
            <rFont val="Tahoma"/>
            <family val="2"/>
          </rPr>
          <t>NOTE: 
DO NOT MAKE ANY CHANGES TO THIS COLUMN</t>
        </r>
      </text>
    </comment>
    <comment ref="G15" authorId="0">
      <text>
        <r>
          <rPr>
            <b/>
            <sz val="9"/>
            <color indexed="81"/>
            <rFont val="Tahoma"/>
            <family val="2"/>
          </rPr>
          <t>NOTE: 
DO NOT MAKE ANY CHANGES TO THIS COLUMN</t>
        </r>
      </text>
    </comment>
    <comment ref="H15" authorId="0">
      <text>
        <r>
          <rPr>
            <b/>
            <sz val="9"/>
            <color indexed="81"/>
            <rFont val="Tahoma"/>
            <family val="2"/>
          </rPr>
          <t>NOTE: 
DO NOT MAKE ANY CHANGES TO THIS COLUMN</t>
        </r>
      </text>
    </comment>
    <comment ref="A16" authorId="0">
      <text>
        <r>
          <rPr>
            <b/>
            <sz val="9"/>
            <color indexed="81"/>
            <rFont val="Tahoma"/>
            <family val="2"/>
          </rPr>
          <t>NOTE: 
DO NOT MAKE ANY CHANGES TO THIS COLUMN</t>
        </r>
      </text>
    </comment>
    <comment ref="F16" authorId="0">
      <text>
        <r>
          <rPr>
            <b/>
            <sz val="9"/>
            <color indexed="81"/>
            <rFont val="Tahoma"/>
            <family val="2"/>
          </rPr>
          <t>NOTE: 
DO NOT MAKE ANY CHANGES TO THIS COLUMN</t>
        </r>
      </text>
    </comment>
    <comment ref="G16" authorId="0">
      <text>
        <r>
          <rPr>
            <b/>
            <sz val="9"/>
            <color indexed="81"/>
            <rFont val="Tahoma"/>
            <family val="2"/>
          </rPr>
          <t>NOTE: 
DO NOT MAKE ANY CHANGES TO THIS COLUMN</t>
        </r>
      </text>
    </comment>
    <comment ref="H16" authorId="0">
      <text>
        <r>
          <rPr>
            <b/>
            <sz val="9"/>
            <color indexed="81"/>
            <rFont val="Tahoma"/>
            <family val="2"/>
          </rPr>
          <t>NOTE: 
DO NOT MAKE ANY CHANGES TO THIS COLUMN</t>
        </r>
      </text>
    </comment>
    <comment ref="A17" authorId="0">
      <text>
        <r>
          <rPr>
            <b/>
            <sz val="9"/>
            <color indexed="81"/>
            <rFont val="Tahoma"/>
            <family val="2"/>
          </rPr>
          <t>NOTE: 
DO NOT MAKE ANY CHANGES TO THIS COLUMN</t>
        </r>
      </text>
    </comment>
    <comment ref="F17" authorId="0">
      <text>
        <r>
          <rPr>
            <b/>
            <sz val="9"/>
            <color indexed="81"/>
            <rFont val="Tahoma"/>
            <family val="2"/>
          </rPr>
          <t>NOTE: 
DO NOT MAKE ANY CHANGES TO THIS COLUMN</t>
        </r>
      </text>
    </comment>
    <comment ref="G17" authorId="0">
      <text>
        <r>
          <rPr>
            <b/>
            <sz val="9"/>
            <color indexed="81"/>
            <rFont val="Tahoma"/>
            <family val="2"/>
          </rPr>
          <t>NOTE: 
DO NOT MAKE ANY CHANGES TO THIS COLUMN</t>
        </r>
      </text>
    </comment>
    <comment ref="H17" authorId="0">
      <text>
        <r>
          <rPr>
            <b/>
            <sz val="9"/>
            <color indexed="81"/>
            <rFont val="Tahoma"/>
            <family val="2"/>
          </rPr>
          <t>NOTE: 
DO NOT MAKE ANY CHANGES TO THIS COLUMN</t>
        </r>
      </text>
    </comment>
    <comment ref="A18" authorId="0">
      <text>
        <r>
          <rPr>
            <b/>
            <sz val="9"/>
            <color indexed="81"/>
            <rFont val="Tahoma"/>
            <family val="2"/>
          </rPr>
          <t>NOTE: 
DO NOT MAKE ANY CHANGES TO THIS COLUMN</t>
        </r>
      </text>
    </comment>
    <comment ref="F18" authorId="0">
      <text>
        <r>
          <rPr>
            <b/>
            <sz val="9"/>
            <color indexed="81"/>
            <rFont val="Tahoma"/>
            <family val="2"/>
          </rPr>
          <t>NOTE: 
DO NOT MAKE ANY CHANGES TO THIS COLUMN</t>
        </r>
      </text>
    </comment>
    <comment ref="G18" authorId="0">
      <text>
        <r>
          <rPr>
            <b/>
            <sz val="9"/>
            <color indexed="81"/>
            <rFont val="Tahoma"/>
            <family val="2"/>
          </rPr>
          <t>NOTE: 
DO NOT MAKE ANY CHANGES TO THIS COLUMN</t>
        </r>
      </text>
    </comment>
    <comment ref="H18" authorId="0">
      <text>
        <r>
          <rPr>
            <b/>
            <sz val="9"/>
            <color indexed="81"/>
            <rFont val="Tahoma"/>
            <family val="2"/>
          </rPr>
          <t>NOTE: 
DO NOT MAKE ANY CHANGES TO THIS COLUMN</t>
        </r>
      </text>
    </comment>
    <comment ref="A19" authorId="0">
      <text>
        <r>
          <rPr>
            <b/>
            <sz val="9"/>
            <color indexed="81"/>
            <rFont val="Tahoma"/>
            <family val="2"/>
          </rPr>
          <t>NOTE: 
DO NOT MAKE ANY CHANGES TO THIS COLUMN</t>
        </r>
      </text>
    </comment>
    <comment ref="F19" authorId="0">
      <text>
        <r>
          <rPr>
            <b/>
            <sz val="9"/>
            <color indexed="81"/>
            <rFont val="Tahoma"/>
            <family val="2"/>
          </rPr>
          <t>NOTE: 
DO NOT MAKE ANY CHANGES TO THIS COLUMN</t>
        </r>
      </text>
    </comment>
    <comment ref="G19" authorId="0">
      <text>
        <r>
          <rPr>
            <b/>
            <sz val="9"/>
            <color indexed="81"/>
            <rFont val="Tahoma"/>
            <family val="2"/>
          </rPr>
          <t>NOTE: 
DO NOT MAKE ANY CHANGES TO THIS COLUMN</t>
        </r>
      </text>
    </comment>
    <comment ref="H19" authorId="0">
      <text>
        <r>
          <rPr>
            <b/>
            <sz val="9"/>
            <color indexed="81"/>
            <rFont val="Tahoma"/>
            <family val="2"/>
          </rPr>
          <t>NOTE: 
DO NOT MAKE ANY CHANGES TO THIS COLUMN</t>
        </r>
      </text>
    </comment>
    <comment ref="A20" authorId="0">
      <text>
        <r>
          <rPr>
            <b/>
            <sz val="9"/>
            <color indexed="81"/>
            <rFont val="Tahoma"/>
            <family val="2"/>
          </rPr>
          <t>NOTE: 
DO NOT MAKE ANY CHANGES TO THIS COLUMN</t>
        </r>
      </text>
    </comment>
    <comment ref="F20" authorId="0">
      <text>
        <r>
          <rPr>
            <b/>
            <sz val="9"/>
            <color indexed="81"/>
            <rFont val="Tahoma"/>
            <family val="2"/>
          </rPr>
          <t>NOTE: 
DO NOT MAKE ANY CHANGES TO THIS COLUMN</t>
        </r>
      </text>
    </comment>
    <comment ref="G20" authorId="0">
      <text>
        <r>
          <rPr>
            <b/>
            <sz val="9"/>
            <color indexed="81"/>
            <rFont val="Tahoma"/>
            <family val="2"/>
          </rPr>
          <t>NOTE: 
DO NOT MAKE ANY CHANGES TO THIS COLUMN</t>
        </r>
      </text>
    </comment>
    <comment ref="H20" authorId="0">
      <text>
        <r>
          <rPr>
            <b/>
            <sz val="9"/>
            <color indexed="81"/>
            <rFont val="Tahoma"/>
            <family val="2"/>
          </rPr>
          <t>NOTE: 
DO NOT MAKE ANY CHANGES TO THIS COLUMN</t>
        </r>
      </text>
    </comment>
    <comment ref="A21" authorId="0">
      <text>
        <r>
          <rPr>
            <b/>
            <sz val="9"/>
            <color indexed="81"/>
            <rFont val="Tahoma"/>
            <family val="2"/>
          </rPr>
          <t>NOTE: 
DO NOT MAKE ANY CHANGES TO THIS COLUMN</t>
        </r>
      </text>
    </comment>
    <comment ref="F21" authorId="0">
      <text>
        <r>
          <rPr>
            <b/>
            <sz val="9"/>
            <color indexed="81"/>
            <rFont val="Tahoma"/>
            <family val="2"/>
          </rPr>
          <t>NOTE: 
DO NOT MAKE ANY CHANGES TO THIS COLUMN</t>
        </r>
      </text>
    </comment>
    <comment ref="G21" authorId="0">
      <text>
        <r>
          <rPr>
            <b/>
            <sz val="9"/>
            <color indexed="81"/>
            <rFont val="Tahoma"/>
            <family val="2"/>
          </rPr>
          <t>NOTE: 
DO NOT MAKE ANY CHANGES TO THIS COLUMN</t>
        </r>
      </text>
    </comment>
    <comment ref="H21" authorId="0">
      <text>
        <r>
          <rPr>
            <b/>
            <sz val="9"/>
            <color indexed="81"/>
            <rFont val="Tahoma"/>
            <family val="2"/>
          </rPr>
          <t>NOTE: 
DO NOT MAKE ANY CHANGES TO THIS COLUMN</t>
        </r>
      </text>
    </comment>
    <comment ref="A22" authorId="0">
      <text>
        <r>
          <rPr>
            <b/>
            <sz val="9"/>
            <color indexed="81"/>
            <rFont val="Tahoma"/>
            <family val="2"/>
          </rPr>
          <t>NOTE: 
DO NOT MAKE ANY CHANGES TO THIS COLUMN</t>
        </r>
      </text>
    </comment>
    <comment ref="F22" authorId="0">
      <text>
        <r>
          <rPr>
            <b/>
            <sz val="9"/>
            <color indexed="81"/>
            <rFont val="Tahoma"/>
            <family val="2"/>
          </rPr>
          <t>NOTE: 
DO NOT MAKE ANY CHANGES TO THIS COLUMN</t>
        </r>
      </text>
    </comment>
    <comment ref="G22" authorId="0">
      <text>
        <r>
          <rPr>
            <b/>
            <sz val="9"/>
            <color indexed="81"/>
            <rFont val="Tahoma"/>
            <family val="2"/>
          </rPr>
          <t>NOTE: 
DO NOT MAKE ANY CHANGES TO THIS COLUMN</t>
        </r>
      </text>
    </comment>
    <comment ref="H22" authorId="0">
      <text>
        <r>
          <rPr>
            <b/>
            <sz val="9"/>
            <color indexed="81"/>
            <rFont val="Tahoma"/>
            <family val="2"/>
          </rPr>
          <t>NOTE: 
DO NOT MAKE ANY CHANGES TO THIS COLUMN</t>
        </r>
      </text>
    </comment>
    <comment ref="A23" authorId="0">
      <text>
        <r>
          <rPr>
            <b/>
            <sz val="9"/>
            <color indexed="81"/>
            <rFont val="Tahoma"/>
            <family val="2"/>
          </rPr>
          <t>NOTE: 
DO NOT MAKE ANY CHANGES TO THIS COLUMN</t>
        </r>
      </text>
    </comment>
    <comment ref="F23" authorId="0">
      <text>
        <r>
          <rPr>
            <b/>
            <sz val="9"/>
            <color indexed="81"/>
            <rFont val="Tahoma"/>
            <family val="2"/>
          </rPr>
          <t>NOTE: 
DO NOT MAKE ANY CHANGES TO THIS COLUMN</t>
        </r>
      </text>
    </comment>
    <comment ref="G23" authorId="0">
      <text>
        <r>
          <rPr>
            <b/>
            <sz val="9"/>
            <color indexed="81"/>
            <rFont val="Tahoma"/>
            <family val="2"/>
          </rPr>
          <t>NOTE: 
DO NOT MAKE ANY CHANGES TO THIS COLUMN</t>
        </r>
      </text>
    </comment>
    <comment ref="H23" authorId="0">
      <text>
        <r>
          <rPr>
            <b/>
            <sz val="9"/>
            <color indexed="81"/>
            <rFont val="Tahoma"/>
            <family val="2"/>
          </rPr>
          <t>NOTE: 
DO NOT MAKE ANY CHANGES TO THIS COLUMN</t>
        </r>
      </text>
    </comment>
    <comment ref="A24" authorId="0">
      <text>
        <r>
          <rPr>
            <b/>
            <sz val="9"/>
            <color indexed="81"/>
            <rFont val="Tahoma"/>
            <family val="2"/>
          </rPr>
          <t>NOTE: 
DO NOT MAKE ANY CHANGES TO THIS COLUMN</t>
        </r>
      </text>
    </comment>
    <comment ref="F24" authorId="0">
      <text>
        <r>
          <rPr>
            <b/>
            <sz val="9"/>
            <color indexed="81"/>
            <rFont val="Tahoma"/>
            <family val="2"/>
          </rPr>
          <t>NOTE: 
DO NOT MAKE ANY CHANGES TO THIS COLUMN</t>
        </r>
      </text>
    </comment>
    <comment ref="G24" authorId="0">
      <text>
        <r>
          <rPr>
            <b/>
            <sz val="9"/>
            <color indexed="81"/>
            <rFont val="Tahoma"/>
            <family val="2"/>
          </rPr>
          <t>NOTE: 
DO NOT MAKE ANY CHANGES TO THIS COLUMN</t>
        </r>
      </text>
    </comment>
    <comment ref="H24" authorId="0">
      <text>
        <r>
          <rPr>
            <b/>
            <sz val="9"/>
            <color indexed="81"/>
            <rFont val="Tahoma"/>
            <family val="2"/>
          </rPr>
          <t>NOTE: 
DO NOT MAKE ANY CHANGES TO THIS COLUMN</t>
        </r>
      </text>
    </comment>
    <comment ref="A25" authorId="0">
      <text>
        <r>
          <rPr>
            <b/>
            <sz val="9"/>
            <color indexed="81"/>
            <rFont val="Tahoma"/>
            <family val="2"/>
          </rPr>
          <t>NOTE: 
DO NOT MAKE ANY CHANGES TO THIS COLUMN</t>
        </r>
      </text>
    </comment>
    <comment ref="F25" authorId="0">
      <text>
        <r>
          <rPr>
            <b/>
            <sz val="9"/>
            <color indexed="81"/>
            <rFont val="Tahoma"/>
            <family val="2"/>
          </rPr>
          <t>NOTE: 
DO NOT MAKE ANY CHANGES TO THIS COLUMN</t>
        </r>
      </text>
    </comment>
    <comment ref="G25" authorId="0">
      <text>
        <r>
          <rPr>
            <b/>
            <sz val="9"/>
            <color indexed="81"/>
            <rFont val="Tahoma"/>
            <family val="2"/>
          </rPr>
          <t>NOTE: 
DO NOT MAKE ANY CHANGES TO THIS COLUMN</t>
        </r>
      </text>
    </comment>
    <comment ref="H25" authorId="0">
      <text>
        <r>
          <rPr>
            <b/>
            <sz val="9"/>
            <color indexed="81"/>
            <rFont val="Tahoma"/>
            <family val="2"/>
          </rPr>
          <t>NOTE: 
DO NOT MAKE ANY CHANGES TO THIS COLUMN</t>
        </r>
      </text>
    </comment>
    <comment ref="A26" authorId="0">
      <text>
        <r>
          <rPr>
            <b/>
            <sz val="9"/>
            <color indexed="81"/>
            <rFont val="Tahoma"/>
            <family val="2"/>
          </rPr>
          <t>NOTE: 
DO NOT MAKE ANY CHANGES TO THIS COLUMN</t>
        </r>
      </text>
    </comment>
    <comment ref="F26" authorId="0">
      <text>
        <r>
          <rPr>
            <b/>
            <sz val="9"/>
            <color indexed="81"/>
            <rFont val="Tahoma"/>
            <family val="2"/>
          </rPr>
          <t>NOTE: 
DO NOT MAKE ANY CHANGES TO THIS COLUMN</t>
        </r>
      </text>
    </comment>
    <comment ref="G26" authorId="0">
      <text>
        <r>
          <rPr>
            <b/>
            <sz val="9"/>
            <color indexed="81"/>
            <rFont val="Tahoma"/>
            <family val="2"/>
          </rPr>
          <t>NOTE: 
DO NOT MAKE ANY CHANGES TO THIS COLUMN</t>
        </r>
      </text>
    </comment>
    <comment ref="H26" authorId="0">
      <text>
        <r>
          <rPr>
            <b/>
            <sz val="9"/>
            <color indexed="81"/>
            <rFont val="Tahoma"/>
            <family val="2"/>
          </rPr>
          <t>NOTE: 
DO NOT MAKE ANY CHANGES TO THIS COLUMN</t>
        </r>
      </text>
    </comment>
    <comment ref="A27" authorId="0">
      <text>
        <r>
          <rPr>
            <b/>
            <sz val="9"/>
            <color indexed="81"/>
            <rFont val="Tahoma"/>
            <family val="2"/>
          </rPr>
          <t>NOTE: 
DO NOT MAKE ANY CHANGES TO THIS COLUMN</t>
        </r>
      </text>
    </comment>
    <comment ref="F27" authorId="0">
      <text>
        <r>
          <rPr>
            <b/>
            <sz val="9"/>
            <color indexed="81"/>
            <rFont val="Tahoma"/>
            <family val="2"/>
          </rPr>
          <t>NOTE: 
DO NOT MAKE ANY CHANGES TO THIS COLUMN</t>
        </r>
      </text>
    </comment>
    <comment ref="G27" authorId="0">
      <text>
        <r>
          <rPr>
            <b/>
            <sz val="9"/>
            <color indexed="81"/>
            <rFont val="Tahoma"/>
            <family val="2"/>
          </rPr>
          <t>NOTE: 
DO NOT MAKE ANY CHANGES TO THIS COLUMN</t>
        </r>
      </text>
    </comment>
    <comment ref="H27" authorId="0">
      <text>
        <r>
          <rPr>
            <b/>
            <sz val="9"/>
            <color indexed="81"/>
            <rFont val="Tahoma"/>
            <family val="2"/>
          </rPr>
          <t>NOTE: 
DO NOT MAKE ANY CHANGES TO THIS COLUMN</t>
        </r>
      </text>
    </comment>
    <comment ref="A28" authorId="0">
      <text>
        <r>
          <rPr>
            <b/>
            <sz val="9"/>
            <color indexed="81"/>
            <rFont val="Tahoma"/>
            <family val="2"/>
          </rPr>
          <t>NOTE: 
DO NOT MAKE ANY CHANGES TO THIS COLUMN</t>
        </r>
      </text>
    </comment>
    <comment ref="F28" authorId="0">
      <text>
        <r>
          <rPr>
            <b/>
            <sz val="9"/>
            <color indexed="81"/>
            <rFont val="Tahoma"/>
            <family val="2"/>
          </rPr>
          <t>NOTE: 
DO NOT MAKE ANY CHANGES TO THIS COLUMN</t>
        </r>
      </text>
    </comment>
    <comment ref="G28" authorId="0">
      <text>
        <r>
          <rPr>
            <b/>
            <sz val="9"/>
            <color indexed="81"/>
            <rFont val="Tahoma"/>
            <family val="2"/>
          </rPr>
          <t>NOTE: 
DO NOT MAKE ANY CHANGES TO THIS COLUMN</t>
        </r>
      </text>
    </comment>
    <comment ref="H28" authorId="0">
      <text>
        <r>
          <rPr>
            <b/>
            <sz val="9"/>
            <color indexed="81"/>
            <rFont val="Tahoma"/>
            <family val="2"/>
          </rPr>
          <t>NOTE: 
DO NOT MAKE ANY CHANGES TO THIS COLUMN</t>
        </r>
      </text>
    </comment>
    <comment ref="A29" authorId="0">
      <text>
        <r>
          <rPr>
            <b/>
            <sz val="9"/>
            <color indexed="81"/>
            <rFont val="Tahoma"/>
            <family val="2"/>
          </rPr>
          <t>NOTE: 
DO NOT MAKE ANY CHANGES TO THIS COLUMN</t>
        </r>
      </text>
    </comment>
    <comment ref="F29" authorId="0">
      <text>
        <r>
          <rPr>
            <b/>
            <sz val="9"/>
            <color indexed="81"/>
            <rFont val="Tahoma"/>
            <family val="2"/>
          </rPr>
          <t>NOTE: 
DO NOT MAKE ANY CHANGES TO THIS COLUMN</t>
        </r>
      </text>
    </comment>
    <comment ref="G29" authorId="0">
      <text>
        <r>
          <rPr>
            <b/>
            <sz val="9"/>
            <color indexed="81"/>
            <rFont val="Tahoma"/>
            <family val="2"/>
          </rPr>
          <t>NOTE: 
DO NOT MAKE ANY CHANGES TO THIS COLUMN</t>
        </r>
      </text>
    </comment>
    <comment ref="H29" authorId="0">
      <text>
        <r>
          <rPr>
            <b/>
            <sz val="9"/>
            <color indexed="81"/>
            <rFont val="Tahoma"/>
            <family val="2"/>
          </rPr>
          <t>NOTE: 
DO NOT MAKE ANY CHANGES TO THIS COLUMN</t>
        </r>
      </text>
    </comment>
    <comment ref="A30" authorId="0">
      <text>
        <r>
          <rPr>
            <b/>
            <sz val="9"/>
            <color indexed="81"/>
            <rFont val="Tahoma"/>
            <family val="2"/>
          </rPr>
          <t>NOTE: 
DO NOT MAKE ANY CHANGES TO THIS COLUMN</t>
        </r>
      </text>
    </comment>
    <comment ref="F30" authorId="0">
      <text>
        <r>
          <rPr>
            <b/>
            <sz val="9"/>
            <color indexed="81"/>
            <rFont val="Tahoma"/>
            <family val="2"/>
          </rPr>
          <t>NOTE: 
DO NOT MAKE ANY CHANGES TO THIS COLUMN</t>
        </r>
      </text>
    </comment>
    <comment ref="G30" authorId="0">
      <text>
        <r>
          <rPr>
            <b/>
            <sz val="9"/>
            <color indexed="81"/>
            <rFont val="Tahoma"/>
            <family val="2"/>
          </rPr>
          <t>NOTE: 
DO NOT MAKE ANY CHANGES TO THIS COLUMN</t>
        </r>
      </text>
    </comment>
    <comment ref="H30" authorId="0">
      <text>
        <r>
          <rPr>
            <b/>
            <sz val="9"/>
            <color indexed="81"/>
            <rFont val="Tahoma"/>
            <family val="2"/>
          </rPr>
          <t>NOTE: 
DO NOT MAKE ANY CHANGES TO THIS COLUMN</t>
        </r>
      </text>
    </comment>
    <comment ref="A31" authorId="0">
      <text>
        <r>
          <rPr>
            <b/>
            <sz val="9"/>
            <color indexed="81"/>
            <rFont val="Tahoma"/>
            <family val="2"/>
          </rPr>
          <t>NOTE: 
DO NOT MAKE ANY CHANGES TO THIS COLUMN</t>
        </r>
      </text>
    </comment>
    <comment ref="F31" authorId="0">
      <text>
        <r>
          <rPr>
            <b/>
            <sz val="9"/>
            <color indexed="81"/>
            <rFont val="Tahoma"/>
            <family val="2"/>
          </rPr>
          <t>NOTE: 
DO NOT MAKE ANY CHANGES TO THIS COLUMN</t>
        </r>
      </text>
    </comment>
    <comment ref="G31" authorId="0">
      <text>
        <r>
          <rPr>
            <b/>
            <sz val="9"/>
            <color indexed="81"/>
            <rFont val="Tahoma"/>
            <family val="2"/>
          </rPr>
          <t>NOTE: 
DO NOT MAKE ANY CHANGES TO THIS COLUMN</t>
        </r>
      </text>
    </comment>
    <comment ref="H31" authorId="0">
      <text>
        <r>
          <rPr>
            <b/>
            <sz val="9"/>
            <color indexed="81"/>
            <rFont val="Tahoma"/>
            <family val="2"/>
          </rPr>
          <t>NOTE: 
DO NOT MAKE ANY CHANGES TO THIS COLUMN</t>
        </r>
      </text>
    </comment>
    <comment ref="A32" authorId="0">
      <text>
        <r>
          <rPr>
            <b/>
            <sz val="9"/>
            <color indexed="81"/>
            <rFont val="Tahoma"/>
            <family val="2"/>
          </rPr>
          <t>NOTE: 
DO NOT MAKE ANY CHANGES TO THIS COLUMN</t>
        </r>
      </text>
    </comment>
    <comment ref="F32" authorId="0">
      <text>
        <r>
          <rPr>
            <b/>
            <sz val="9"/>
            <color indexed="81"/>
            <rFont val="Tahoma"/>
            <family val="2"/>
          </rPr>
          <t>NOTE: 
DO NOT MAKE ANY CHANGES TO THIS COLUMN</t>
        </r>
      </text>
    </comment>
    <comment ref="G32" authorId="0">
      <text>
        <r>
          <rPr>
            <b/>
            <sz val="9"/>
            <color indexed="81"/>
            <rFont val="Tahoma"/>
            <family val="2"/>
          </rPr>
          <t>NOTE: 
DO NOT MAKE ANY CHANGES TO THIS COLUMN</t>
        </r>
      </text>
    </comment>
    <comment ref="H32" authorId="0">
      <text>
        <r>
          <rPr>
            <b/>
            <sz val="9"/>
            <color indexed="81"/>
            <rFont val="Tahoma"/>
            <family val="2"/>
          </rPr>
          <t>NOTE: 
DO NOT MAKE ANY CHANGES TO THIS COLUMN</t>
        </r>
      </text>
    </comment>
    <comment ref="A33" authorId="0">
      <text>
        <r>
          <rPr>
            <b/>
            <sz val="9"/>
            <color indexed="81"/>
            <rFont val="Tahoma"/>
            <family val="2"/>
          </rPr>
          <t>NOTE: 
DO NOT MAKE ANY CHANGES TO THIS COLUMN</t>
        </r>
      </text>
    </comment>
    <comment ref="F33" authorId="0">
      <text>
        <r>
          <rPr>
            <b/>
            <sz val="9"/>
            <color indexed="81"/>
            <rFont val="Tahoma"/>
            <family val="2"/>
          </rPr>
          <t>NOTE: 
DO NOT MAKE ANY CHANGES TO THIS COLUMN</t>
        </r>
      </text>
    </comment>
    <comment ref="G33" authorId="0">
      <text>
        <r>
          <rPr>
            <b/>
            <sz val="9"/>
            <color indexed="81"/>
            <rFont val="Tahoma"/>
            <family val="2"/>
          </rPr>
          <t>NOTE: 
DO NOT MAKE ANY CHANGES TO THIS COLUMN</t>
        </r>
      </text>
    </comment>
    <comment ref="H33" authorId="0">
      <text>
        <r>
          <rPr>
            <b/>
            <sz val="9"/>
            <color indexed="81"/>
            <rFont val="Tahoma"/>
            <family val="2"/>
          </rPr>
          <t>NOTE: 
DO NOT MAKE ANY CHANGES TO THIS COLUMN</t>
        </r>
      </text>
    </comment>
    <comment ref="A34" authorId="0">
      <text>
        <r>
          <rPr>
            <b/>
            <sz val="9"/>
            <color indexed="81"/>
            <rFont val="Tahoma"/>
            <family val="2"/>
          </rPr>
          <t>NOTE: 
DO NOT MAKE ANY CHANGES TO THIS COLUMN</t>
        </r>
      </text>
    </comment>
    <comment ref="F34" authorId="0">
      <text>
        <r>
          <rPr>
            <b/>
            <sz val="9"/>
            <color indexed="81"/>
            <rFont val="Tahoma"/>
            <family val="2"/>
          </rPr>
          <t>NOTE: 
DO NOT MAKE ANY CHANGES TO THIS COLUMN</t>
        </r>
      </text>
    </comment>
    <comment ref="G34" authorId="0">
      <text>
        <r>
          <rPr>
            <b/>
            <sz val="9"/>
            <color indexed="81"/>
            <rFont val="Tahoma"/>
            <family val="2"/>
          </rPr>
          <t>NOTE: 
DO NOT MAKE ANY CHANGES TO THIS COLUMN</t>
        </r>
      </text>
    </comment>
    <comment ref="H34" authorId="0">
      <text>
        <r>
          <rPr>
            <b/>
            <sz val="9"/>
            <color indexed="81"/>
            <rFont val="Tahoma"/>
            <family val="2"/>
          </rPr>
          <t>NOTE: 
DO NOT MAKE ANY CHANGES TO THIS COLUMN</t>
        </r>
      </text>
    </comment>
    <comment ref="A35" authorId="0">
      <text>
        <r>
          <rPr>
            <b/>
            <sz val="9"/>
            <color indexed="81"/>
            <rFont val="Tahoma"/>
            <family val="2"/>
          </rPr>
          <t>NOTE: 
DO NOT MAKE ANY CHANGES TO THIS COLUMN</t>
        </r>
      </text>
    </comment>
    <comment ref="F35" authorId="0">
      <text>
        <r>
          <rPr>
            <b/>
            <sz val="9"/>
            <color indexed="81"/>
            <rFont val="Tahoma"/>
            <family val="2"/>
          </rPr>
          <t>NOTE: 
DO NOT MAKE ANY CHANGES TO THIS COLUMN</t>
        </r>
      </text>
    </comment>
    <comment ref="G35" authorId="0">
      <text>
        <r>
          <rPr>
            <b/>
            <sz val="9"/>
            <color indexed="81"/>
            <rFont val="Tahoma"/>
            <family val="2"/>
          </rPr>
          <t>NOTE: 
DO NOT MAKE ANY CHANGES TO THIS COLUMN</t>
        </r>
      </text>
    </comment>
    <comment ref="H35" authorId="0">
      <text>
        <r>
          <rPr>
            <b/>
            <sz val="9"/>
            <color indexed="81"/>
            <rFont val="Tahoma"/>
            <family val="2"/>
          </rPr>
          <t>NOTE: 
DO NOT MAKE ANY CHANGES TO THIS COLUMN</t>
        </r>
      </text>
    </comment>
    <comment ref="A36" authorId="0">
      <text>
        <r>
          <rPr>
            <b/>
            <sz val="9"/>
            <color indexed="81"/>
            <rFont val="Tahoma"/>
            <family val="2"/>
          </rPr>
          <t>NOTE: 
DO NOT MAKE ANY CHANGES TO THIS COLUMN</t>
        </r>
      </text>
    </comment>
    <comment ref="F36" authorId="0">
      <text>
        <r>
          <rPr>
            <b/>
            <sz val="9"/>
            <color indexed="81"/>
            <rFont val="Tahoma"/>
            <family val="2"/>
          </rPr>
          <t>NOTE: 
DO NOT MAKE ANY CHANGES TO THIS COLUMN</t>
        </r>
      </text>
    </comment>
    <comment ref="G36" authorId="0">
      <text>
        <r>
          <rPr>
            <b/>
            <sz val="9"/>
            <color indexed="81"/>
            <rFont val="Tahoma"/>
            <family val="2"/>
          </rPr>
          <t>NOTE: 
DO NOT MAKE ANY CHANGES TO THIS COLUMN</t>
        </r>
      </text>
    </comment>
    <comment ref="H36" authorId="0">
      <text>
        <r>
          <rPr>
            <b/>
            <sz val="9"/>
            <color indexed="81"/>
            <rFont val="Tahoma"/>
            <family val="2"/>
          </rPr>
          <t>NOTE: 
DO NOT MAKE ANY CHANGES TO THIS COLUMN</t>
        </r>
      </text>
    </comment>
    <comment ref="A37" authorId="0">
      <text>
        <r>
          <rPr>
            <b/>
            <sz val="9"/>
            <color indexed="81"/>
            <rFont val="Tahoma"/>
            <family val="2"/>
          </rPr>
          <t>NOTE: 
DO NOT MAKE ANY CHANGES TO THIS COLUMN</t>
        </r>
      </text>
    </comment>
    <comment ref="F37" authorId="0">
      <text>
        <r>
          <rPr>
            <b/>
            <sz val="9"/>
            <color indexed="81"/>
            <rFont val="Tahoma"/>
            <family val="2"/>
          </rPr>
          <t>NOTE: 
DO NOT MAKE ANY CHANGES TO THIS COLUMN</t>
        </r>
      </text>
    </comment>
    <comment ref="A38" authorId="0">
      <text>
        <r>
          <rPr>
            <b/>
            <sz val="9"/>
            <color indexed="81"/>
            <rFont val="Tahoma"/>
            <family val="2"/>
          </rPr>
          <t>NOTE: 
DO NOT MAKE ANY CHANGES TO THIS COLUMN</t>
        </r>
      </text>
    </comment>
    <comment ref="F38" authorId="0">
      <text>
        <r>
          <rPr>
            <b/>
            <sz val="9"/>
            <color indexed="81"/>
            <rFont val="Tahoma"/>
            <family val="2"/>
          </rPr>
          <t>NOTE: 
DO NOT MAKE ANY CHANGES TO THIS COLUMN</t>
        </r>
      </text>
    </comment>
    <comment ref="A39" authorId="0">
      <text>
        <r>
          <rPr>
            <b/>
            <sz val="9"/>
            <color indexed="81"/>
            <rFont val="Tahoma"/>
            <family val="2"/>
          </rPr>
          <t>NOTE: 
DO NOT MAKE ANY CHANGES TO THIS COLUMN</t>
        </r>
      </text>
    </comment>
    <comment ref="F39" authorId="0">
      <text>
        <r>
          <rPr>
            <b/>
            <sz val="9"/>
            <color indexed="81"/>
            <rFont val="Tahoma"/>
            <family val="2"/>
          </rPr>
          <t>NOTE: 
DO NOT MAKE ANY CHANGES TO THIS COLUMN</t>
        </r>
      </text>
    </comment>
    <comment ref="A40" authorId="0">
      <text>
        <r>
          <rPr>
            <b/>
            <sz val="9"/>
            <color indexed="81"/>
            <rFont val="Tahoma"/>
            <family val="2"/>
          </rPr>
          <t>NOTE: 
DO NOT MAKE ANY CHANGES TO THIS COLUMN</t>
        </r>
      </text>
    </comment>
    <comment ref="F40" authorId="0">
      <text>
        <r>
          <rPr>
            <b/>
            <sz val="9"/>
            <color indexed="81"/>
            <rFont val="Tahoma"/>
            <family val="2"/>
          </rPr>
          <t>NOTE: 
DO NOT MAKE ANY CHANGES TO THIS COLUMN</t>
        </r>
      </text>
    </comment>
    <comment ref="A41" authorId="0">
      <text>
        <r>
          <rPr>
            <b/>
            <sz val="9"/>
            <color indexed="81"/>
            <rFont val="Tahoma"/>
            <family val="2"/>
          </rPr>
          <t>NOTE: 
DO NOT MAKE ANY CHANGES TO THIS COLUMN</t>
        </r>
      </text>
    </comment>
    <comment ref="F41" authorId="0">
      <text>
        <r>
          <rPr>
            <b/>
            <sz val="9"/>
            <color indexed="81"/>
            <rFont val="Tahoma"/>
            <family val="2"/>
          </rPr>
          <t>NOTE: 
DO NOT MAKE ANY CHANGES TO THIS COLUMN</t>
        </r>
      </text>
    </comment>
    <comment ref="A42" authorId="0">
      <text>
        <r>
          <rPr>
            <b/>
            <sz val="9"/>
            <color indexed="81"/>
            <rFont val="Tahoma"/>
            <family val="2"/>
          </rPr>
          <t>NOTE: 
DO NOT MAKE ANY CHANGES TO THIS COLUMN</t>
        </r>
      </text>
    </comment>
    <comment ref="F42" authorId="0">
      <text>
        <r>
          <rPr>
            <b/>
            <sz val="9"/>
            <color indexed="81"/>
            <rFont val="Tahoma"/>
            <family val="2"/>
          </rPr>
          <t>NOTE: 
DO NOT MAKE ANY CHANGES TO THIS COLUMN</t>
        </r>
      </text>
    </comment>
    <comment ref="A43" authorId="0">
      <text>
        <r>
          <rPr>
            <b/>
            <sz val="9"/>
            <color indexed="81"/>
            <rFont val="Tahoma"/>
            <family val="2"/>
          </rPr>
          <t>NOTE: 
DO NOT MAKE ANY CHANGES TO THIS COLUMN</t>
        </r>
      </text>
    </comment>
    <comment ref="F43" authorId="0">
      <text>
        <r>
          <rPr>
            <b/>
            <sz val="9"/>
            <color indexed="81"/>
            <rFont val="Tahoma"/>
            <family val="2"/>
          </rPr>
          <t>NOTE: 
DO NOT MAKE ANY CHANGES TO THIS COLUMN</t>
        </r>
      </text>
    </comment>
    <comment ref="A44" authorId="0">
      <text>
        <r>
          <rPr>
            <b/>
            <sz val="9"/>
            <color indexed="81"/>
            <rFont val="Tahoma"/>
            <family val="2"/>
          </rPr>
          <t>NOTE: 
DO NOT MAKE ANY CHANGES TO THIS COLUMN</t>
        </r>
      </text>
    </comment>
    <comment ref="F44" authorId="0">
      <text>
        <r>
          <rPr>
            <b/>
            <sz val="9"/>
            <color indexed="81"/>
            <rFont val="Tahoma"/>
            <family val="2"/>
          </rPr>
          <t>NOTE: 
DO NOT MAKE ANY CHANGES TO THIS COLUMN</t>
        </r>
      </text>
    </comment>
    <comment ref="A45" authorId="0">
      <text>
        <r>
          <rPr>
            <b/>
            <sz val="9"/>
            <color indexed="81"/>
            <rFont val="Tahoma"/>
            <family val="2"/>
          </rPr>
          <t>NOTE: 
DO NOT MAKE ANY CHANGES TO THIS COLUMN</t>
        </r>
      </text>
    </comment>
    <comment ref="F45" authorId="0">
      <text>
        <r>
          <rPr>
            <b/>
            <sz val="9"/>
            <color indexed="81"/>
            <rFont val="Tahoma"/>
            <family val="2"/>
          </rPr>
          <t>NOTE: 
DO NOT MAKE ANY CHANGES TO THIS COLUMN</t>
        </r>
      </text>
    </comment>
    <comment ref="A46" authorId="0">
      <text>
        <r>
          <rPr>
            <b/>
            <sz val="9"/>
            <color indexed="81"/>
            <rFont val="Tahoma"/>
            <family val="2"/>
          </rPr>
          <t>NOTE: 
DO NOT MAKE ANY CHANGES TO THIS COLUMN</t>
        </r>
      </text>
    </comment>
    <comment ref="F46" authorId="0">
      <text>
        <r>
          <rPr>
            <b/>
            <sz val="9"/>
            <color indexed="81"/>
            <rFont val="Tahoma"/>
            <family val="2"/>
          </rPr>
          <t>NOTE: 
DO NOT MAKE ANY CHANGES TO THIS COLUMN</t>
        </r>
      </text>
    </comment>
    <comment ref="A47" authorId="0">
      <text>
        <r>
          <rPr>
            <b/>
            <sz val="9"/>
            <color indexed="81"/>
            <rFont val="Tahoma"/>
            <family val="2"/>
          </rPr>
          <t>NOTE: 
DO NOT MAKE ANY CHANGES TO THIS COLUMN</t>
        </r>
      </text>
    </comment>
    <comment ref="F47" authorId="0">
      <text>
        <r>
          <rPr>
            <b/>
            <sz val="9"/>
            <color indexed="81"/>
            <rFont val="Tahoma"/>
            <family val="2"/>
          </rPr>
          <t>NOTE: 
DO NOT MAKE ANY CHANGES TO THIS COLUMN</t>
        </r>
      </text>
    </comment>
    <comment ref="A48" authorId="0">
      <text>
        <r>
          <rPr>
            <b/>
            <sz val="9"/>
            <color indexed="81"/>
            <rFont val="Tahoma"/>
            <family val="2"/>
          </rPr>
          <t>NOTE: 
DO NOT MAKE ANY CHANGES TO THIS COLUMN</t>
        </r>
      </text>
    </comment>
    <comment ref="F48" authorId="0">
      <text>
        <r>
          <rPr>
            <b/>
            <sz val="9"/>
            <color indexed="81"/>
            <rFont val="Tahoma"/>
            <family val="2"/>
          </rPr>
          <t>NOTE: 
DO NOT MAKE ANY CHANGES TO THIS COLUMN</t>
        </r>
      </text>
    </comment>
    <comment ref="A49" authorId="0">
      <text>
        <r>
          <rPr>
            <b/>
            <sz val="9"/>
            <color indexed="81"/>
            <rFont val="Tahoma"/>
            <family val="2"/>
          </rPr>
          <t>NOTE: 
DO NOT MAKE ANY CHANGES TO THIS COLUMN</t>
        </r>
      </text>
    </comment>
    <comment ref="F49" authorId="0">
      <text>
        <r>
          <rPr>
            <b/>
            <sz val="9"/>
            <color indexed="81"/>
            <rFont val="Tahoma"/>
            <family val="2"/>
          </rPr>
          <t>NOTE: 
DO NOT MAKE ANY CHANGES TO THIS COLUMN</t>
        </r>
      </text>
    </comment>
    <comment ref="A50" authorId="0">
      <text>
        <r>
          <rPr>
            <b/>
            <sz val="9"/>
            <color indexed="81"/>
            <rFont val="Tahoma"/>
            <family val="2"/>
          </rPr>
          <t>NOTE: 
DO NOT MAKE ANY CHANGES TO THIS COLUMN</t>
        </r>
      </text>
    </comment>
    <comment ref="F50" authorId="0">
      <text>
        <r>
          <rPr>
            <b/>
            <sz val="9"/>
            <color indexed="81"/>
            <rFont val="Tahoma"/>
            <family val="2"/>
          </rPr>
          <t>NOTE: 
DO NOT MAKE ANY CHANGES TO THIS COLUMN</t>
        </r>
      </text>
    </comment>
    <comment ref="A51" authorId="0">
      <text>
        <r>
          <rPr>
            <b/>
            <sz val="9"/>
            <color indexed="81"/>
            <rFont val="Tahoma"/>
            <family val="2"/>
          </rPr>
          <t>NOTE: 
DO NOT MAKE ANY CHANGES TO THIS COLUMN</t>
        </r>
      </text>
    </comment>
    <comment ref="F51" authorId="0">
      <text>
        <r>
          <rPr>
            <b/>
            <sz val="9"/>
            <color indexed="81"/>
            <rFont val="Tahoma"/>
            <family val="2"/>
          </rPr>
          <t>NOTE: 
DO NOT MAKE ANY CHANGES TO THIS COLUMN</t>
        </r>
      </text>
    </comment>
    <comment ref="A52" authorId="0">
      <text>
        <r>
          <rPr>
            <b/>
            <sz val="9"/>
            <color indexed="81"/>
            <rFont val="Tahoma"/>
            <family val="2"/>
          </rPr>
          <t>NOTE: 
DO NOT MAKE ANY CHANGES TO THIS COLUMN</t>
        </r>
      </text>
    </comment>
    <comment ref="F52" authorId="0">
      <text>
        <r>
          <rPr>
            <b/>
            <sz val="9"/>
            <color indexed="81"/>
            <rFont val="Tahoma"/>
            <family val="2"/>
          </rPr>
          <t>NOTE: 
DO NOT MAKE ANY CHANGES TO THIS COLUMN</t>
        </r>
      </text>
    </comment>
    <comment ref="A53" authorId="0">
      <text>
        <r>
          <rPr>
            <b/>
            <sz val="9"/>
            <color indexed="81"/>
            <rFont val="Tahoma"/>
            <family val="2"/>
          </rPr>
          <t>NOTE: 
DO NOT MAKE ANY CHANGES TO THIS COLUMN</t>
        </r>
      </text>
    </comment>
    <comment ref="A54" authorId="0">
      <text>
        <r>
          <rPr>
            <b/>
            <sz val="9"/>
            <color indexed="81"/>
            <rFont val="Tahoma"/>
            <family val="2"/>
          </rPr>
          <t>NOTE: 
DO NOT MAKE ANY CHANGES TO THIS COLUMN</t>
        </r>
      </text>
    </comment>
    <comment ref="A55" authorId="0">
      <text>
        <r>
          <rPr>
            <b/>
            <sz val="9"/>
            <color indexed="81"/>
            <rFont val="Tahoma"/>
            <family val="2"/>
          </rPr>
          <t>NOTE: 
DO NOT MAKE ANY CHANGES TO THIS COLUMN</t>
        </r>
      </text>
    </comment>
    <comment ref="A56" authorId="0">
      <text>
        <r>
          <rPr>
            <b/>
            <sz val="9"/>
            <color indexed="81"/>
            <rFont val="Tahoma"/>
            <family val="2"/>
          </rPr>
          <t>NOTE: 
DO NOT MAKE ANY CHANGES TO THIS COLUMN</t>
        </r>
      </text>
    </comment>
    <comment ref="A57" authorId="0">
      <text>
        <r>
          <rPr>
            <b/>
            <sz val="9"/>
            <color indexed="81"/>
            <rFont val="Tahoma"/>
            <family val="2"/>
          </rPr>
          <t>NOTE: 
DO NOT MAKE ANY CHANGES TO THIS COLUMN</t>
        </r>
      </text>
    </comment>
    <comment ref="A58" authorId="0">
      <text>
        <r>
          <rPr>
            <b/>
            <sz val="9"/>
            <color indexed="81"/>
            <rFont val="Tahoma"/>
            <family val="2"/>
          </rPr>
          <t>NOTE: 
DO NOT MAKE ANY CHANGES TO THIS COLUMN</t>
        </r>
      </text>
    </comment>
    <comment ref="A59" authorId="0">
      <text>
        <r>
          <rPr>
            <b/>
            <sz val="9"/>
            <color indexed="81"/>
            <rFont val="Tahoma"/>
            <family val="2"/>
          </rPr>
          <t>NOTE: 
DO NOT MAKE ANY CHANGES TO THIS COLUMN</t>
        </r>
      </text>
    </comment>
    <comment ref="A60" authorId="0">
      <text>
        <r>
          <rPr>
            <b/>
            <sz val="9"/>
            <color indexed="81"/>
            <rFont val="Tahoma"/>
            <family val="2"/>
          </rPr>
          <t>NOTE: 
DO NOT MAKE ANY CHANGES TO THIS COLUMN</t>
        </r>
      </text>
    </comment>
    <comment ref="A61" authorId="0">
      <text>
        <r>
          <rPr>
            <b/>
            <sz val="9"/>
            <color indexed="81"/>
            <rFont val="Tahoma"/>
            <family val="2"/>
          </rPr>
          <t>NOTE: 
DO NOT MAKE ANY CHANGES TO THIS COLUMN</t>
        </r>
      </text>
    </comment>
    <comment ref="A62" authorId="0">
      <text>
        <r>
          <rPr>
            <b/>
            <sz val="9"/>
            <color indexed="81"/>
            <rFont val="Tahoma"/>
            <family val="2"/>
          </rPr>
          <t>NOTE: 
DO NOT MAKE ANY CHANGES TO THIS COLUMN</t>
        </r>
      </text>
    </comment>
    <comment ref="A63" authorId="0">
      <text>
        <r>
          <rPr>
            <b/>
            <sz val="9"/>
            <color indexed="81"/>
            <rFont val="Tahoma"/>
            <family val="2"/>
          </rPr>
          <t>NOTE: 
DO NOT MAKE ANY CHANGES TO THIS COLUMN</t>
        </r>
      </text>
    </comment>
    <comment ref="A64" authorId="0">
      <text>
        <r>
          <rPr>
            <b/>
            <sz val="9"/>
            <color indexed="81"/>
            <rFont val="Tahoma"/>
            <family val="2"/>
          </rPr>
          <t>NOTE: 
DO NOT MAKE ANY CHANGES TO THIS COLUMN</t>
        </r>
      </text>
    </comment>
    <comment ref="A65" authorId="0">
      <text>
        <r>
          <rPr>
            <b/>
            <sz val="9"/>
            <color indexed="81"/>
            <rFont val="Tahoma"/>
            <family val="2"/>
          </rPr>
          <t>NOTE: 
DO NOT MAKE ANY CHANGES TO THIS COLUMN</t>
        </r>
      </text>
    </comment>
    <comment ref="A66" authorId="0">
      <text>
        <r>
          <rPr>
            <b/>
            <sz val="9"/>
            <color indexed="81"/>
            <rFont val="Tahoma"/>
            <family val="2"/>
          </rPr>
          <t>NOTE: 
DO NOT MAKE ANY CHANGES TO THIS COLUMN</t>
        </r>
      </text>
    </comment>
    <comment ref="A67" authorId="0">
      <text>
        <r>
          <rPr>
            <b/>
            <sz val="9"/>
            <color indexed="81"/>
            <rFont val="Tahoma"/>
            <family val="2"/>
          </rPr>
          <t>NOTE: 
DO NOT MAKE ANY CHANGES TO THIS COLUMN</t>
        </r>
      </text>
    </comment>
    <comment ref="A68" authorId="0">
      <text>
        <r>
          <rPr>
            <b/>
            <sz val="9"/>
            <color indexed="81"/>
            <rFont val="Tahoma"/>
            <family val="2"/>
          </rPr>
          <t>NOTE: 
DO NOT MAKE ANY CHANGES TO THIS COLUMN</t>
        </r>
      </text>
    </comment>
    <comment ref="A69" authorId="0">
      <text>
        <r>
          <rPr>
            <b/>
            <sz val="9"/>
            <color indexed="81"/>
            <rFont val="Tahoma"/>
            <family val="2"/>
          </rPr>
          <t>NOTE: 
DO NOT MAKE ANY CHANGES TO THIS COLUMN</t>
        </r>
      </text>
    </comment>
    <comment ref="A70" authorId="0">
      <text>
        <r>
          <rPr>
            <b/>
            <sz val="9"/>
            <color indexed="81"/>
            <rFont val="Tahoma"/>
            <family val="2"/>
          </rPr>
          <t>NOTE: 
DO NOT MAKE ANY CHANGES TO THIS COLUMN</t>
        </r>
      </text>
    </comment>
    <comment ref="A71" authorId="0">
      <text>
        <r>
          <rPr>
            <b/>
            <sz val="9"/>
            <color indexed="81"/>
            <rFont val="Tahoma"/>
            <family val="2"/>
          </rPr>
          <t>NOTE: 
DO NOT MAKE ANY CHANGES TO THIS COLUMN</t>
        </r>
      </text>
    </comment>
    <comment ref="A72" authorId="0">
      <text>
        <r>
          <rPr>
            <b/>
            <sz val="9"/>
            <color indexed="81"/>
            <rFont val="Tahoma"/>
            <family val="2"/>
          </rPr>
          <t>NOTE: 
DO NOT MAKE ANY CHANGES TO THIS COLUMN</t>
        </r>
      </text>
    </comment>
    <comment ref="A73" authorId="0">
      <text>
        <r>
          <rPr>
            <b/>
            <sz val="9"/>
            <color indexed="81"/>
            <rFont val="Tahoma"/>
            <family val="2"/>
          </rPr>
          <t>NOTE: 
DO NOT MAKE ANY CHANGES TO THIS COLUMN</t>
        </r>
      </text>
    </comment>
    <comment ref="A74" authorId="0">
      <text>
        <r>
          <rPr>
            <b/>
            <sz val="9"/>
            <color indexed="81"/>
            <rFont val="Tahoma"/>
            <family val="2"/>
          </rPr>
          <t>NOTE: 
DO NOT MAKE ANY CHANGES TO THIS COLUMN</t>
        </r>
      </text>
    </comment>
    <comment ref="A75" authorId="0">
      <text>
        <r>
          <rPr>
            <b/>
            <sz val="9"/>
            <color indexed="81"/>
            <rFont val="Tahoma"/>
            <family val="2"/>
          </rPr>
          <t>NOTE: 
DO NOT MAKE ANY CHANGES TO THIS COLUMN</t>
        </r>
      </text>
    </comment>
    <comment ref="A76" authorId="0">
      <text>
        <r>
          <rPr>
            <b/>
            <sz val="9"/>
            <color indexed="81"/>
            <rFont val="Tahoma"/>
            <family val="2"/>
          </rPr>
          <t>NOTE: 
DO NOT MAKE ANY CHANGES TO THIS COLUMN</t>
        </r>
      </text>
    </comment>
    <comment ref="A77" authorId="0">
      <text>
        <r>
          <rPr>
            <b/>
            <sz val="9"/>
            <color indexed="81"/>
            <rFont val="Tahoma"/>
            <family val="2"/>
          </rPr>
          <t>NOTE: 
DO NOT MAKE ANY CHANGES TO THIS COLUMN</t>
        </r>
      </text>
    </comment>
    <comment ref="A78" authorId="0">
      <text>
        <r>
          <rPr>
            <b/>
            <sz val="9"/>
            <color indexed="81"/>
            <rFont val="Tahoma"/>
            <family val="2"/>
          </rPr>
          <t>NOTE: 
DO NOT MAKE ANY CHANGES TO THIS COLUMN</t>
        </r>
      </text>
    </comment>
    <comment ref="A79" authorId="0">
      <text>
        <r>
          <rPr>
            <b/>
            <sz val="9"/>
            <color indexed="81"/>
            <rFont val="Tahoma"/>
            <family val="2"/>
          </rPr>
          <t>NOTE: 
DO NOT MAKE ANY CHANGES TO THIS COLUMN</t>
        </r>
      </text>
    </comment>
    <comment ref="A80" authorId="0">
      <text>
        <r>
          <rPr>
            <b/>
            <sz val="9"/>
            <color indexed="81"/>
            <rFont val="Tahoma"/>
            <family val="2"/>
          </rPr>
          <t>NOTE: 
DO NOT MAKE ANY CHANGES TO THIS COLUMN</t>
        </r>
      </text>
    </comment>
    <comment ref="A81" authorId="0">
      <text>
        <r>
          <rPr>
            <b/>
            <sz val="9"/>
            <color indexed="81"/>
            <rFont val="Tahoma"/>
            <family val="2"/>
          </rPr>
          <t>NOTE: 
DO NOT MAKE ANY CHANGES TO THIS COLUMN</t>
        </r>
      </text>
    </comment>
    <comment ref="A82" authorId="0">
      <text>
        <r>
          <rPr>
            <b/>
            <sz val="9"/>
            <color indexed="81"/>
            <rFont val="Tahoma"/>
            <family val="2"/>
          </rPr>
          <t>NOTE: 
DO NOT MAKE ANY CHANGES TO THIS COLUMN</t>
        </r>
      </text>
    </comment>
    <comment ref="A83" authorId="0">
      <text>
        <r>
          <rPr>
            <b/>
            <sz val="9"/>
            <color indexed="81"/>
            <rFont val="Tahoma"/>
            <family val="2"/>
          </rPr>
          <t>NOTE: 
DO NOT MAKE ANY CHANGES TO THIS COLUMN</t>
        </r>
      </text>
    </comment>
    <comment ref="A84" authorId="0">
      <text>
        <r>
          <rPr>
            <b/>
            <sz val="9"/>
            <color indexed="81"/>
            <rFont val="Tahoma"/>
            <family val="2"/>
          </rPr>
          <t>NOTE: 
DO NOT MAKE ANY CHANGES TO THIS COLUMN</t>
        </r>
      </text>
    </comment>
    <comment ref="A85" authorId="0">
      <text>
        <r>
          <rPr>
            <b/>
            <sz val="9"/>
            <color indexed="81"/>
            <rFont val="Tahoma"/>
            <family val="2"/>
          </rPr>
          <t>NOTE: 
DO NOT MAKE ANY CHANGES TO THIS COLUMN</t>
        </r>
      </text>
    </comment>
    <comment ref="A86" authorId="0">
      <text>
        <r>
          <rPr>
            <b/>
            <sz val="9"/>
            <color indexed="81"/>
            <rFont val="Tahoma"/>
            <family val="2"/>
          </rPr>
          <t>NOTE: 
DO NOT MAKE ANY CHANGES TO THIS COLUMN</t>
        </r>
      </text>
    </comment>
    <comment ref="A87" authorId="0">
      <text>
        <r>
          <rPr>
            <b/>
            <sz val="9"/>
            <color indexed="81"/>
            <rFont val="Tahoma"/>
            <family val="2"/>
          </rPr>
          <t>NOTE: 
DO NOT MAKE ANY CHANGES TO THIS COLUMN</t>
        </r>
      </text>
    </comment>
    <comment ref="A88" authorId="0">
      <text>
        <r>
          <rPr>
            <b/>
            <sz val="9"/>
            <color indexed="81"/>
            <rFont val="Tahoma"/>
            <family val="2"/>
          </rPr>
          <t>NOTE: 
DO NOT MAKE ANY CHANGES TO THIS COLUMN</t>
        </r>
      </text>
    </comment>
    <comment ref="A89" authorId="0">
      <text>
        <r>
          <rPr>
            <b/>
            <sz val="9"/>
            <color indexed="81"/>
            <rFont val="Tahoma"/>
            <family val="2"/>
          </rPr>
          <t>NOTE: 
DO NOT MAKE ANY CHANGES TO THIS COLUMN</t>
        </r>
      </text>
    </comment>
    <comment ref="A90" authorId="0">
      <text>
        <r>
          <rPr>
            <b/>
            <sz val="9"/>
            <color indexed="81"/>
            <rFont val="Tahoma"/>
            <family val="2"/>
          </rPr>
          <t>NOTE: 
DO NOT MAKE ANY CHANGES TO THIS COLUMN</t>
        </r>
      </text>
    </comment>
    <comment ref="A91" authorId="0">
      <text>
        <r>
          <rPr>
            <b/>
            <sz val="9"/>
            <color indexed="81"/>
            <rFont val="Tahoma"/>
            <family val="2"/>
          </rPr>
          <t>NOTE: 
DO NOT MAKE ANY CHANGES TO THIS COLUMN</t>
        </r>
      </text>
    </comment>
    <comment ref="A92" authorId="0">
      <text>
        <r>
          <rPr>
            <b/>
            <sz val="9"/>
            <color indexed="81"/>
            <rFont val="Tahoma"/>
            <family val="2"/>
          </rPr>
          <t>NOTE: 
DO NOT MAKE ANY CHANGES TO THIS COLUMN</t>
        </r>
      </text>
    </comment>
    <comment ref="A93" authorId="0">
      <text>
        <r>
          <rPr>
            <b/>
            <sz val="9"/>
            <color indexed="81"/>
            <rFont val="Tahoma"/>
            <family val="2"/>
          </rPr>
          <t>NOTE: 
DO NOT MAKE ANY CHANGES TO THIS COLUMN</t>
        </r>
      </text>
    </comment>
    <comment ref="A94" authorId="0">
      <text>
        <r>
          <rPr>
            <b/>
            <sz val="9"/>
            <color indexed="81"/>
            <rFont val="Tahoma"/>
            <family val="2"/>
          </rPr>
          <t>NOTE: 
DO NOT MAKE ANY CHANGES TO THIS COLUMN</t>
        </r>
      </text>
    </comment>
    <comment ref="A95" authorId="0">
      <text>
        <r>
          <rPr>
            <b/>
            <sz val="9"/>
            <color indexed="81"/>
            <rFont val="Tahoma"/>
            <family val="2"/>
          </rPr>
          <t>NOTE: 
DO NOT MAKE ANY CHANGES TO THIS COLUMN</t>
        </r>
      </text>
    </comment>
    <comment ref="A96" authorId="0">
      <text>
        <r>
          <rPr>
            <b/>
            <sz val="9"/>
            <color indexed="81"/>
            <rFont val="Tahoma"/>
            <family val="2"/>
          </rPr>
          <t>NOTE: 
DO NOT MAKE ANY CHANGES TO THIS COLUMN</t>
        </r>
      </text>
    </comment>
    <comment ref="A97" authorId="0">
      <text>
        <r>
          <rPr>
            <b/>
            <sz val="9"/>
            <color indexed="81"/>
            <rFont val="Tahoma"/>
            <family val="2"/>
          </rPr>
          <t>NOTE: 
DO NOT MAKE ANY CHANGES TO THIS COLUMN</t>
        </r>
      </text>
    </comment>
    <comment ref="A98" authorId="0">
      <text>
        <r>
          <rPr>
            <b/>
            <sz val="9"/>
            <color indexed="81"/>
            <rFont val="Tahoma"/>
            <family val="2"/>
          </rPr>
          <t>NOTE: 
DO NOT MAKE ANY CHANGES TO THIS COLUMN</t>
        </r>
      </text>
    </comment>
    <comment ref="A99" authorId="0">
      <text>
        <r>
          <rPr>
            <b/>
            <sz val="9"/>
            <color indexed="81"/>
            <rFont val="Tahoma"/>
            <family val="2"/>
          </rPr>
          <t>NOTE: 
DO NOT MAKE ANY CHANGES TO THIS COLUMN</t>
        </r>
      </text>
    </comment>
    <comment ref="A100" authorId="0">
      <text>
        <r>
          <rPr>
            <b/>
            <sz val="9"/>
            <color indexed="81"/>
            <rFont val="Tahoma"/>
            <family val="2"/>
          </rPr>
          <t>NOTE: 
DO NOT MAKE ANY CHANGES TO THIS COLUMN</t>
        </r>
      </text>
    </comment>
    <comment ref="A101" authorId="0">
      <text>
        <r>
          <rPr>
            <b/>
            <sz val="9"/>
            <color indexed="81"/>
            <rFont val="Tahoma"/>
            <family val="2"/>
          </rPr>
          <t>NOTE: 
DO NOT MAKE ANY CHANGES TO THIS COLUMN</t>
        </r>
      </text>
    </comment>
    <comment ref="A102" authorId="0">
      <text>
        <r>
          <rPr>
            <b/>
            <sz val="9"/>
            <color indexed="81"/>
            <rFont val="Tahoma"/>
            <family val="2"/>
          </rPr>
          <t>NOTE: 
DO NOT MAKE ANY CHANGES TO THIS COLUMN</t>
        </r>
      </text>
    </comment>
    <comment ref="A103" authorId="0">
      <text>
        <r>
          <rPr>
            <b/>
            <sz val="9"/>
            <color indexed="81"/>
            <rFont val="Tahoma"/>
            <family val="2"/>
          </rPr>
          <t>NOTE: 
DO NOT MAKE ANY CHANGES TO THIS COLUMN</t>
        </r>
      </text>
    </comment>
    <comment ref="A104" authorId="0">
      <text>
        <r>
          <rPr>
            <b/>
            <sz val="9"/>
            <color indexed="81"/>
            <rFont val="Tahoma"/>
            <family val="2"/>
          </rPr>
          <t>NOTE: 
DO NOT MAKE ANY CHANGES TO THIS COLUMN</t>
        </r>
      </text>
    </comment>
    <comment ref="A105" authorId="0">
      <text>
        <r>
          <rPr>
            <b/>
            <sz val="9"/>
            <color indexed="81"/>
            <rFont val="Tahoma"/>
            <family val="2"/>
          </rPr>
          <t>NOTE: 
DO NOT MAKE ANY CHANGES TO THIS COLUMN</t>
        </r>
      </text>
    </comment>
    <comment ref="A106" authorId="0">
      <text>
        <r>
          <rPr>
            <b/>
            <sz val="9"/>
            <color indexed="81"/>
            <rFont val="Tahoma"/>
            <family val="2"/>
          </rPr>
          <t>NOTE: 
DO NOT MAKE ANY CHANGES TO THIS COLUMN</t>
        </r>
      </text>
    </comment>
    <comment ref="A107" authorId="0">
      <text>
        <r>
          <rPr>
            <b/>
            <sz val="9"/>
            <color indexed="81"/>
            <rFont val="Tahoma"/>
            <family val="2"/>
          </rPr>
          <t>NOTE: 
DO NOT MAKE ANY CHANGES TO THIS COLUMN</t>
        </r>
      </text>
    </comment>
    <comment ref="A108" authorId="0">
      <text>
        <r>
          <rPr>
            <b/>
            <sz val="9"/>
            <color indexed="81"/>
            <rFont val="Tahoma"/>
            <family val="2"/>
          </rPr>
          <t>NOTE: 
DO NOT MAKE ANY CHANGES TO THIS COLUMN</t>
        </r>
      </text>
    </comment>
    <comment ref="A109" authorId="0">
      <text>
        <r>
          <rPr>
            <b/>
            <sz val="9"/>
            <color indexed="81"/>
            <rFont val="Tahoma"/>
            <family val="2"/>
          </rPr>
          <t>NOTE: 
DO NOT MAKE ANY CHANGES TO THIS COLUMN</t>
        </r>
      </text>
    </comment>
    <comment ref="A110" authorId="0">
      <text>
        <r>
          <rPr>
            <b/>
            <sz val="9"/>
            <color indexed="81"/>
            <rFont val="Tahoma"/>
            <family val="2"/>
          </rPr>
          <t>NOTE: 
DO NOT MAKE ANY CHANGES TO THIS COLUMN</t>
        </r>
      </text>
    </comment>
    <comment ref="A111" authorId="0">
      <text>
        <r>
          <rPr>
            <b/>
            <sz val="9"/>
            <color indexed="81"/>
            <rFont val="Tahoma"/>
            <family val="2"/>
          </rPr>
          <t>NOTE: 
DO NOT MAKE ANY CHANGES TO THIS COLUMN</t>
        </r>
      </text>
    </comment>
    <comment ref="A112" authorId="0">
      <text>
        <r>
          <rPr>
            <b/>
            <sz val="9"/>
            <color indexed="81"/>
            <rFont val="Tahoma"/>
            <family val="2"/>
          </rPr>
          <t>NOTE: 
DO NOT MAKE ANY CHANGES TO THIS COLUMN</t>
        </r>
      </text>
    </comment>
    <comment ref="A113" authorId="0">
      <text>
        <r>
          <rPr>
            <b/>
            <sz val="9"/>
            <color indexed="81"/>
            <rFont val="Tahoma"/>
            <family val="2"/>
          </rPr>
          <t>NOTE: 
DO NOT MAKE ANY CHANGES TO THIS COLUMN</t>
        </r>
      </text>
    </comment>
    <comment ref="A114" authorId="0">
      <text>
        <r>
          <rPr>
            <b/>
            <sz val="9"/>
            <color indexed="81"/>
            <rFont val="Tahoma"/>
            <family val="2"/>
          </rPr>
          <t>NOTE: 
DO NOT MAKE ANY CHANGES TO THIS COLUMN</t>
        </r>
      </text>
    </comment>
    <comment ref="A115" authorId="0">
      <text>
        <r>
          <rPr>
            <b/>
            <sz val="9"/>
            <color indexed="81"/>
            <rFont val="Tahoma"/>
            <family val="2"/>
          </rPr>
          <t>NOTE: 
DO NOT MAKE ANY CHANGES TO THIS COLUMN</t>
        </r>
      </text>
    </comment>
    <comment ref="A116" authorId="0">
      <text>
        <r>
          <rPr>
            <b/>
            <sz val="9"/>
            <color indexed="81"/>
            <rFont val="Tahoma"/>
            <family val="2"/>
          </rPr>
          <t>NOTE: 
DO NOT MAKE ANY CHANGES TO THIS COLUMN</t>
        </r>
      </text>
    </comment>
    <comment ref="A117" authorId="0">
      <text>
        <r>
          <rPr>
            <b/>
            <sz val="9"/>
            <color indexed="81"/>
            <rFont val="Tahoma"/>
            <family val="2"/>
          </rPr>
          <t>NOTE: 
DO NOT MAKE ANY CHANGES TO THIS COLUMN</t>
        </r>
      </text>
    </comment>
    <comment ref="A118" authorId="0">
      <text>
        <r>
          <rPr>
            <b/>
            <sz val="9"/>
            <color indexed="81"/>
            <rFont val="Tahoma"/>
            <family val="2"/>
          </rPr>
          <t>NOTE: 
DO NOT MAKE ANY CHANGES TO THIS COLUMN</t>
        </r>
      </text>
    </comment>
    <comment ref="A119" authorId="0">
      <text>
        <r>
          <rPr>
            <b/>
            <sz val="9"/>
            <color indexed="81"/>
            <rFont val="Tahoma"/>
            <family val="2"/>
          </rPr>
          <t>NOTE: 
DO NOT MAKE ANY CHANGES TO THIS COLUMN</t>
        </r>
      </text>
    </comment>
    <comment ref="A120" authorId="0">
      <text>
        <r>
          <rPr>
            <b/>
            <sz val="9"/>
            <color indexed="81"/>
            <rFont val="Tahoma"/>
            <family val="2"/>
          </rPr>
          <t>NOTE: 
DO NOT MAKE ANY CHANGES TO THIS COLUMN</t>
        </r>
      </text>
    </comment>
    <comment ref="A121" authorId="0">
      <text>
        <r>
          <rPr>
            <b/>
            <sz val="9"/>
            <color indexed="81"/>
            <rFont val="Tahoma"/>
            <family val="2"/>
          </rPr>
          <t>NOTE: 
DO NOT MAKE ANY CHANGES TO THIS COLUMN</t>
        </r>
      </text>
    </comment>
    <comment ref="A122" authorId="0">
      <text>
        <r>
          <rPr>
            <b/>
            <sz val="9"/>
            <color indexed="81"/>
            <rFont val="Tahoma"/>
            <family val="2"/>
          </rPr>
          <t>NOTE: 
DO NOT MAKE ANY CHANGES TO THIS COLUMN</t>
        </r>
      </text>
    </comment>
    <comment ref="A123" authorId="0">
      <text>
        <r>
          <rPr>
            <b/>
            <sz val="9"/>
            <color indexed="81"/>
            <rFont val="Tahoma"/>
            <family val="2"/>
          </rPr>
          <t>NOTE: 
DO NOT MAKE ANY CHANGES TO THIS COLUMN</t>
        </r>
      </text>
    </comment>
    <comment ref="A124" authorId="0">
      <text>
        <r>
          <rPr>
            <b/>
            <sz val="9"/>
            <color indexed="81"/>
            <rFont val="Tahoma"/>
            <family val="2"/>
          </rPr>
          <t>NOTE: 
DO NOT MAKE ANY CHANGES TO THIS COLUMN</t>
        </r>
      </text>
    </comment>
    <comment ref="A125" authorId="0">
      <text>
        <r>
          <rPr>
            <b/>
            <sz val="9"/>
            <color indexed="81"/>
            <rFont val="Tahoma"/>
            <family val="2"/>
          </rPr>
          <t>NOTE: 
DO NOT MAKE ANY CHANGES TO THIS COLUMN</t>
        </r>
      </text>
    </comment>
    <comment ref="A126" authorId="0">
      <text>
        <r>
          <rPr>
            <b/>
            <sz val="9"/>
            <color indexed="81"/>
            <rFont val="Tahoma"/>
            <family val="2"/>
          </rPr>
          <t>NOTE: 
DO NOT MAKE ANY CHANGES TO THIS COLUMN</t>
        </r>
      </text>
    </comment>
    <comment ref="A127" authorId="0">
      <text>
        <r>
          <rPr>
            <b/>
            <sz val="9"/>
            <color indexed="81"/>
            <rFont val="Tahoma"/>
            <family val="2"/>
          </rPr>
          <t>NOTE: 
DO NOT MAKE ANY CHANGES TO THIS COLUMN</t>
        </r>
      </text>
    </comment>
    <comment ref="A128" authorId="0">
      <text>
        <r>
          <rPr>
            <b/>
            <sz val="9"/>
            <color indexed="81"/>
            <rFont val="Tahoma"/>
            <family val="2"/>
          </rPr>
          <t>NOTE: 
DO NOT MAKE ANY CHANGES TO THIS COLUMN</t>
        </r>
      </text>
    </comment>
    <comment ref="A129" authorId="0">
      <text>
        <r>
          <rPr>
            <b/>
            <sz val="9"/>
            <color indexed="81"/>
            <rFont val="Tahoma"/>
            <family val="2"/>
          </rPr>
          <t>NOTE: 
DO NOT MAKE ANY CHANGES TO THIS COLUMN</t>
        </r>
      </text>
    </comment>
    <comment ref="A130" authorId="0">
      <text>
        <r>
          <rPr>
            <b/>
            <sz val="9"/>
            <color indexed="81"/>
            <rFont val="Tahoma"/>
            <family val="2"/>
          </rPr>
          <t>NOTE: 
DO NOT MAKE ANY CHANGES TO THIS COLUMN</t>
        </r>
      </text>
    </comment>
    <comment ref="A131" authorId="0">
      <text>
        <r>
          <rPr>
            <b/>
            <sz val="9"/>
            <color indexed="81"/>
            <rFont val="Tahoma"/>
            <family val="2"/>
          </rPr>
          <t>NOTE: 
DO NOT MAKE ANY CHANGES TO THIS COLUMN</t>
        </r>
      </text>
    </comment>
    <comment ref="A132" authorId="0">
      <text>
        <r>
          <rPr>
            <b/>
            <sz val="9"/>
            <color indexed="81"/>
            <rFont val="Tahoma"/>
            <family val="2"/>
          </rPr>
          <t>NOTE: 
DO NOT MAKE ANY CHANGES TO THIS COLUMN</t>
        </r>
      </text>
    </comment>
    <comment ref="A133" authorId="0">
      <text>
        <r>
          <rPr>
            <b/>
            <sz val="9"/>
            <color indexed="81"/>
            <rFont val="Tahoma"/>
            <family val="2"/>
          </rPr>
          <t>NOTE: 
DO NOT MAKE ANY CHANGES TO THIS COLUMN</t>
        </r>
      </text>
    </comment>
    <comment ref="A134" authorId="0">
      <text>
        <r>
          <rPr>
            <b/>
            <sz val="9"/>
            <color indexed="81"/>
            <rFont val="Tahoma"/>
            <family val="2"/>
          </rPr>
          <t>NOTE: 
DO NOT MAKE ANY CHANGES TO THIS COLUMN</t>
        </r>
      </text>
    </comment>
    <comment ref="A135" authorId="0">
      <text>
        <r>
          <rPr>
            <b/>
            <sz val="9"/>
            <color indexed="81"/>
            <rFont val="Tahoma"/>
            <family val="2"/>
          </rPr>
          <t>NOTE: 
DO NOT MAKE ANY CHANGES TO THIS COLUMN</t>
        </r>
      </text>
    </comment>
    <comment ref="A136" authorId="0">
      <text>
        <r>
          <rPr>
            <b/>
            <sz val="9"/>
            <color indexed="81"/>
            <rFont val="Tahoma"/>
            <family val="2"/>
          </rPr>
          <t>NOTE: 
DO NOT MAKE ANY CHANGES TO THIS COLUMN</t>
        </r>
      </text>
    </comment>
    <comment ref="A137" authorId="0">
      <text>
        <r>
          <rPr>
            <b/>
            <sz val="9"/>
            <color indexed="81"/>
            <rFont val="Tahoma"/>
            <family val="2"/>
          </rPr>
          <t>NOTE: 
DO NOT MAKE ANY CHANGES TO THIS COLUMN</t>
        </r>
      </text>
    </comment>
    <comment ref="A138" authorId="0">
      <text>
        <r>
          <rPr>
            <b/>
            <sz val="9"/>
            <color indexed="81"/>
            <rFont val="Tahoma"/>
            <family val="2"/>
          </rPr>
          <t>NOTE: 
DO NOT MAKE ANY CHANGES TO THIS COLUMN</t>
        </r>
      </text>
    </comment>
    <comment ref="A139" authorId="0">
      <text>
        <r>
          <rPr>
            <b/>
            <sz val="9"/>
            <color indexed="81"/>
            <rFont val="Tahoma"/>
            <family val="2"/>
          </rPr>
          <t>NOTE: 
DO NOT MAKE ANY CHANGES TO THIS COLUMN</t>
        </r>
      </text>
    </comment>
    <comment ref="A140" authorId="0">
      <text>
        <r>
          <rPr>
            <b/>
            <sz val="9"/>
            <color indexed="81"/>
            <rFont val="Tahoma"/>
            <family val="2"/>
          </rPr>
          <t>NOTE: 
DO NOT MAKE ANY CHANGES TO THIS COLUMN</t>
        </r>
      </text>
    </comment>
    <comment ref="A141" authorId="0">
      <text>
        <r>
          <rPr>
            <b/>
            <sz val="9"/>
            <color indexed="81"/>
            <rFont val="Tahoma"/>
            <family val="2"/>
          </rPr>
          <t>NOTE: 
DO NOT MAKE ANY CHANGES TO THIS COLUMN</t>
        </r>
      </text>
    </comment>
    <comment ref="A142" authorId="0">
      <text>
        <r>
          <rPr>
            <b/>
            <sz val="9"/>
            <color indexed="81"/>
            <rFont val="Tahoma"/>
            <family val="2"/>
          </rPr>
          <t>NOTE: 
DO NOT MAKE ANY CHANGES TO THIS COLUMN</t>
        </r>
      </text>
    </comment>
    <comment ref="A143" authorId="0">
      <text>
        <r>
          <rPr>
            <b/>
            <sz val="9"/>
            <color indexed="81"/>
            <rFont val="Tahoma"/>
            <family val="2"/>
          </rPr>
          <t>NOTE: 
DO NOT MAKE ANY CHANGES TO THIS COLUMN</t>
        </r>
      </text>
    </comment>
    <comment ref="A144" authorId="0">
      <text>
        <r>
          <rPr>
            <b/>
            <sz val="9"/>
            <color indexed="81"/>
            <rFont val="Tahoma"/>
            <family val="2"/>
          </rPr>
          <t>NOTE: 
DO NOT MAKE ANY CHANGES TO THIS COLUMN</t>
        </r>
      </text>
    </comment>
    <comment ref="A145" authorId="0">
      <text>
        <r>
          <rPr>
            <b/>
            <sz val="9"/>
            <color indexed="81"/>
            <rFont val="Tahoma"/>
            <family val="2"/>
          </rPr>
          <t>NOTE: 
DO NOT MAKE ANY CHANGES TO THIS COLUMN</t>
        </r>
      </text>
    </comment>
    <comment ref="A146" authorId="0">
      <text>
        <r>
          <rPr>
            <b/>
            <sz val="9"/>
            <color indexed="81"/>
            <rFont val="Tahoma"/>
            <family val="2"/>
          </rPr>
          <t>NOTE: 
DO NOT MAKE ANY CHANGES TO THIS COLUMN</t>
        </r>
      </text>
    </comment>
    <comment ref="A147" authorId="0">
      <text>
        <r>
          <rPr>
            <b/>
            <sz val="9"/>
            <color indexed="81"/>
            <rFont val="Tahoma"/>
            <family val="2"/>
          </rPr>
          <t>NOTE: 
DO NOT MAKE ANY CHANGES TO THIS COLUMN</t>
        </r>
      </text>
    </comment>
    <comment ref="A148" authorId="0">
      <text>
        <r>
          <rPr>
            <b/>
            <sz val="9"/>
            <color indexed="81"/>
            <rFont val="Tahoma"/>
            <family val="2"/>
          </rPr>
          <t>NOTE: 
DO NOT MAKE ANY CHANGES TO THIS COLUMN</t>
        </r>
      </text>
    </comment>
    <comment ref="A149" authorId="0">
      <text>
        <r>
          <rPr>
            <b/>
            <sz val="9"/>
            <color indexed="81"/>
            <rFont val="Tahoma"/>
            <family val="2"/>
          </rPr>
          <t>NOTE: 
DO NOT MAKE ANY CHANGES TO THIS COLUMN</t>
        </r>
      </text>
    </comment>
    <comment ref="A150" authorId="0">
      <text>
        <r>
          <rPr>
            <b/>
            <sz val="9"/>
            <color indexed="81"/>
            <rFont val="Tahoma"/>
            <family val="2"/>
          </rPr>
          <t>NOTE: 
DO NOT MAKE ANY CHANGES TO THIS COLUMN</t>
        </r>
      </text>
    </comment>
    <comment ref="A151" authorId="0">
      <text>
        <r>
          <rPr>
            <b/>
            <sz val="9"/>
            <color indexed="81"/>
            <rFont val="Tahoma"/>
            <family val="2"/>
          </rPr>
          <t>NOTE: 
DO NOT MAKE ANY CHANGES TO THIS COLUMN</t>
        </r>
      </text>
    </comment>
    <comment ref="A152" authorId="0">
      <text>
        <r>
          <rPr>
            <b/>
            <sz val="9"/>
            <color indexed="81"/>
            <rFont val="Tahoma"/>
            <family val="2"/>
          </rPr>
          <t>NOTE: 
DO NOT MAKE ANY CHANGES TO THIS COLUMN</t>
        </r>
      </text>
    </comment>
    <comment ref="A153" authorId="0">
      <text>
        <r>
          <rPr>
            <b/>
            <sz val="9"/>
            <color indexed="81"/>
            <rFont val="Tahoma"/>
            <family val="2"/>
          </rPr>
          <t>NOTE: 
DO NOT MAKE ANY CHANGES TO THIS COLUMN</t>
        </r>
      </text>
    </comment>
    <comment ref="A154" authorId="0">
      <text>
        <r>
          <rPr>
            <b/>
            <sz val="9"/>
            <color indexed="81"/>
            <rFont val="Tahoma"/>
            <family val="2"/>
          </rPr>
          <t>NOTE: 
DO NOT MAKE ANY CHANGES TO THIS COLUMN</t>
        </r>
      </text>
    </comment>
    <comment ref="A155" authorId="0">
      <text>
        <r>
          <rPr>
            <b/>
            <sz val="9"/>
            <color indexed="81"/>
            <rFont val="Tahoma"/>
            <family val="2"/>
          </rPr>
          <t>NOTE: 
DO NOT MAKE ANY CHANGES TO THIS COLUMN</t>
        </r>
      </text>
    </comment>
    <comment ref="A156" authorId="0">
      <text>
        <r>
          <rPr>
            <b/>
            <sz val="9"/>
            <color indexed="81"/>
            <rFont val="Tahoma"/>
            <family val="2"/>
          </rPr>
          <t>NOTE: 
DO NOT MAKE ANY CHANGES TO THIS COLUMN</t>
        </r>
      </text>
    </comment>
    <comment ref="A157" authorId="0">
      <text>
        <r>
          <rPr>
            <b/>
            <sz val="9"/>
            <color indexed="81"/>
            <rFont val="Tahoma"/>
            <family val="2"/>
          </rPr>
          <t>NOTE: 
DO NOT MAKE ANY CHANGES TO THIS COLUMN</t>
        </r>
      </text>
    </comment>
    <comment ref="A158" authorId="0">
      <text>
        <r>
          <rPr>
            <b/>
            <sz val="9"/>
            <color indexed="81"/>
            <rFont val="Tahoma"/>
            <family val="2"/>
          </rPr>
          <t>NOTE: 
DO NOT MAKE ANY CHANGES TO THIS COLUMN</t>
        </r>
      </text>
    </comment>
    <comment ref="A159" authorId="0">
      <text>
        <r>
          <rPr>
            <b/>
            <sz val="9"/>
            <color indexed="81"/>
            <rFont val="Tahoma"/>
            <family val="2"/>
          </rPr>
          <t>NOTE: 
DO NOT MAKE ANY CHANGES TO THIS COLUMN</t>
        </r>
      </text>
    </comment>
    <comment ref="A160" authorId="0">
      <text>
        <r>
          <rPr>
            <b/>
            <sz val="9"/>
            <color indexed="81"/>
            <rFont val="Tahoma"/>
            <family val="2"/>
          </rPr>
          <t>NOTE: 
DO NOT MAKE ANY CHANGES TO THIS COLUMN</t>
        </r>
      </text>
    </comment>
    <comment ref="A161" authorId="0">
      <text>
        <r>
          <rPr>
            <b/>
            <sz val="9"/>
            <color indexed="81"/>
            <rFont val="Tahoma"/>
            <family val="2"/>
          </rPr>
          <t>NOTE: 
DO NOT MAKE ANY CHANGES TO THIS COLUMN</t>
        </r>
      </text>
    </comment>
    <comment ref="A162" authorId="0">
      <text>
        <r>
          <rPr>
            <b/>
            <sz val="9"/>
            <color indexed="81"/>
            <rFont val="Tahoma"/>
            <family val="2"/>
          </rPr>
          <t>NOTE: 
DO NOT MAKE ANY CHANGES TO THIS COLUMN</t>
        </r>
      </text>
    </comment>
    <comment ref="A163" authorId="0">
      <text>
        <r>
          <rPr>
            <b/>
            <sz val="9"/>
            <color indexed="81"/>
            <rFont val="Tahoma"/>
            <family val="2"/>
          </rPr>
          <t>NOTE: 
DO NOT MAKE ANY CHANGES TO THIS COLUMN</t>
        </r>
      </text>
    </comment>
    <comment ref="A164" authorId="0">
      <text>
        <r>
          <rPr>
            <b/>
            <sz val="9"/>
            <color indexed="81"/>
            <rFont val="Tahoma"/>
            <family val="2"/>
          </rPr>
          <t>NOTE: 
DO NOT MAKE ANY CHANGES TO THIS COLUMN</t>
        </r>
      </text>
    </comment>
    <comment ref="A165" authorId="0">
      <text>
        <r>
          <rPr>
            <b/>
            <sz val="9"/>
            <color indexed="81"/>
            <rFont val="Tahoma"/>
            <family val="2"/>
          </rPr>
          <t>NOTE: 
DO NOT MAKE ANY CHANGES TO THIS COLUMN</t>
        </r>
      </text>
    </comment>
    <comment ref="A166" authorId="0">
      <text>
        <r>
          <rPr>
            <b/>
            <sz val="9"/>
            <color indexed="81"/>
            <rFont val="Tahoma"/>
            <family val="2"/>
          </rPr>
          <t>NOTE: 
DO NOT MAKE ANY CHANGES TO THIS COLUMN</t>
        </r>
      </text>
    </comment>
    <comment ref="A167" authorId="0">
      <text>
        <r>
          <rPr>
            <b/>
            <sz val="9"/>
            <color indexed="81"/>
            <rFont val="Tahoma"/>
            <family val="2"/>
          </rPr>
          <t>NOTE: 
DO NOT MAKE ANY CHANGES TO THIS COLUMN</t>
        </r>
      </text>
    </comment>
    <comment ref="A168" authorId="0">
      <text>
        <r>
          <rPr>
            <b/>
            <sz val="9"/>
            <color indexed="81"/>
            <rFont val="Tahoma"/>
            <family val="2"/>
          </rPr>
          <t>NOTE: 
DO NOT MAKE ANY CHANGES TO THIS COLUMN</t>
        </r>
      </text>
    </comment>
    <comment ref="A169" authorId="0">
      <text>
        <r>
          <rPr>
            <b/>
            <sz val="9"/>
            <color indexed="81"/>
            <rFont val="Tahoma"/>
            <family val="2"/>
          </rPr>
          <t>NOTE: 
DO NOT MAKE ANY CHANGES TO THIS COLUMN</t>
        </r>
      </text>
    </comment>
    <comment ref="A170" authorId="0">
      <text>
        <r>
          <rPr>
            <b/>
            <sz val="9"/>
            <color indexed="81"/>
            <rFont val="Tahoma"/>
            <family val="2"/>
          </rPr>
          <t>NOTE: 
DO NOT MAKE ANY CHANGES TO THIS COLUMN</t>
        </r>
      </text>
    </comment>
    <comment ref="A171" authorId="0">
      <text>
        <r>
          <rPr>
            <b/>
            <sz val="9"/>
            <color indexed="81"/>
            <rFont val="Tahoma"/>
            <family val="2"/>
          </rPr>
          <t>NOTE: 
DO NOT MAKE ANY CHANGES TO THIS COLUMN</t>
        </r>
      </text>
    </comment>
    <comment ref="A172" authorId="0">
      <text>
        <r>
          <rPr>
            <b/>
            <sz val="9"/>
            <color indexed="81"/>
            <rFont val="Tahoma"/>
            <family val="2"/>
          </rPr>
          <t>NOTE: 
DO NOT MAKE ANY CHANGES TO THIS COLUMN</t>
        </r>
      </text>
    </comment>
    <comment ref="A173" authorId="0">
      <text>
        <r>
          <rPr>
            <b/>
            <sz val="9"/>
            <color indexed="81"/>
            <rFont val="Tahoma"/>
            <family val="2"/>
          </rPr>
          <t>NOTE: 
DO NOT MAKE ANY CHANGES TO THIS COLUMN</t>
        </r>
      </text>
    </comment>
    <comment ref="A174" authorId="0">
      <text>
        <r>
          <rPr>
            <b/>
            <sz val="9"/>
            <color indexed="81"/>
            <rFont val="Tahoma"/>
            <family val="2"/>
          </rPr>
          <t>NOTE: 
DO NOT MAKE ANY CHANGES TO THIS COLUMN</t>
        </r>
      </text>
    </comment>
    <comment ref="A175" authorId="0">
      <text>
        <r>
          <rPr>
            <b/>
            <sz val="9"/>
            <color indexed="81"/>
            <rFont val="Tahoma"/>
            <family val="2"/>
          </rPr>
          <t>NOTE: 
DO NOT MAKE ANY CHANGES TO THIS COLUMN</t>
        </r>
      </text>
    </comment>
    <comment ref="A176" authorId="0">
      <text>
        <r>
          <rPr>
            <b/>
            <sz val="9"/>
            <color indexed="81"/>
            <rFont val="Tahoma"/>
            <family val="2"/>
          </rPr>
          <t>NOTE: 
DO NOT MAKE ANY CHANGES TO THIS COLUMN</t>
        </r>
      </text>
    </comment>
    <comment ref="A177" authorId="0">
      <text>
        <r>
          <rPr>
            <b/>
            <sz val="9"/>
            <color indexed="81"/>
            <rFont val="Tahoma"/>
            <family val="2"/>
          </rPr>
          <t>NOTE: 
DO NOT MAKE ANY CHANGES TO THIS COLUMN</t>
        </r>
      </text>
    </comment>
    <comment ref="A178" authorId="0">
      <text>
        <r>
          <rPr>
            <b/>
            <sz val="9"/>
            <color indexed="81"/>
            <rFont val="Tahoma"/>
            <family val="2"/>
          </rPr>
          <t>NOTE: 
DO NOT MAKE ANY CHANGES TO THIS COLUMN</t>
        </r>
      </text>
    </comment>
    <comment ref="A179" authorId="0">
      <text>
        <r>
          <rPr>
            <b/>
            <sz val="9"/>
            <color indexed="81"/>
            <rFont val="Tahoma"/>
            <family val="2"/>
          </rPr>
          <t>NOTE: 
DO NOT MAKE ANY CHANGES TO THIS COLUMN</t>
        </r>
      </text>
    </comment>
    <comment ref="A180" authorId="0">
      <text>
        <r>
          <rPr>
            <b/>
            <sz val="9"/>
            <color indexed="81"/>
            <rFont val="Tahoma"/>
            <family val="2"/>
          </rPr>
          <t>NOTE: 
DO NOT MAKE ANY CHANGES TO THIS COLUMN</t>
        </r>
      </text>
    </comment>
    <comment ref="A181" authorId="0">
      <text>
        <r>
          <rPr>
            <b/>
            <sz val="9"/>
            <color indexed="81"/>
            <rFont val="Tahoma"/>
            <family val="2"/>
          </rPr>
          <t>NOTE: 
DO NOT MAKE ANY CHANGES TO THIS COLUMN</t>
        </r>
      </text>
    </comment>
    <comment ref="A182" authorId="0">
      <text>
        <r>
          <rPr>
            <b/>
            <sz val="9"/>
            <color indexed="81"/>
            <rFont val="Tahoma"/>
            <family val="2"/>
          </rPr>
          <t>NOTE: 
DO NOT MAKE ANY CHANGES TO THIS COLUMN</t>
        </r>
      </text>
    </comment>
    <comment ref="A183" authorId="0">
      <text>
        <r>
          <rPr>
            <b/>
            <sz val="9"/>
            <color indexed="81"/>
            <rFont val="Tahoma"/>
            <family val="2"/>
          </rPr>
          <t>NOTE: 
DO NOT MAKE ANY CHANGES TO THIS COLUMN</t>
        </r>
      </text>
    </comment>
    <comment ref="A184" authorId="0">
      <text>
        <r>
          <rPr>
            <b/>
            <sz val="9"/>
            <color indexed="81"/>
            <rFont val="Tahoma"/>
            <family val="2"/>
          </rPr>
          <t>NOTE: 
DO NOT MAKE ANY CHANGES TO THIS COLUMN</t>
        </r>
      </text>
    </comment>
    <comment ref="A185" authorId="0">
      <text>
        <r>
          <rPr>
            <b/>
            <sz val="9"/>
            <color indexed="81"/>
            <rFont val="Tahoma"/>
            <family val="2"/>
          </rPr>
          <t>NOTE: 
DO NOT MAKE ANY CHANGES TO THIS COLUMN</t>
        </r>
      </text>
    </comment>
    <comment ref="A186" authorId="0">
      <text>
        <r>
          <rPr>
            <b/>
            <sz val="9"/>
            <color indexed="81"/>
            <rFont val="Tahoma"/>
            <family val="2"/>
          </rPr>
          <t>NOTE: 
DO NOT MAKE ANY CHANGES TO THIS COLUMN</t>
        </r>
      </text>
    </comment>
    <comment ref="A187" authorId="0">
      <text>
        <r>
          <rPr>
            <b/>
            <sz val="9"/>
            <color indexed="81"/>
            <rFont val="Tahoma"/>
            <family val="2"/>
          </rPr>
          <t>NOTE: 
DO NOT MAKE ANY CHANGES TO THIS COLUMN</t>
        </r>
      </text>
    </comment>
    <comment ref="A188" authorId="0">
      <text>
        <r>
          <rPr>
            <b/>
            <sz val="9"/>
            <color indexed="81"/>
            <rFont val="Tahoma"/>
            <family val="2"/>
          </rPr>
          <t>NOTE: 
DO NOT MAKE ANY CHANGES TO THIS COLUMN</t>
        </r>
      </text>
    </comment>
    <comment ref="A189" authorId="0">
      <text>
        <r>
          <rPr>
            <b/>
            <sz val="9"/>
            <color indexed="81"/>
            <rFont val="Tahoma"/>
            <family val="2"/>
          </rPr>
          <t>NOTE: 
DO NOT MAKE ANY CHANGES TO THIS COLUMN</t>
        </r>
      </text>
    </comment>
    <comment ref="A190" authorId="0">
      <text>
        <r>
          <rPr>
            <b/>
            <sz val="9"/>
            <color indexed="81"/>
            <rFont val="Tahoma"/>
            <family val="2"/>
          </rPr>
          <t>NOTE: 
DO NOT MAKE ANY CHANGES TO THIS COLUMN</t>
        </r>
      </text>
    </comment>
    <comment ref="A191" authorId="0">
      <text>
        <r>
          <rPr>
            <b/>
            <sz val="9"/>
            <color indexed="81"/>
            <rFont val="Tahoma"/>
            <family val="2"/>
          </rPr>
          <t>NOTE: 
DO NOT MAKE ANY CHANGES TO THIS COLUMN</t>
        </r>
      </text>
    </comment>
    <comment ref="A192" authorId="0">
      <text>
        <r>
          <rPr>
            <b/>
            <sz val="9"/>
            <color indexed="81"/>
            <rFont val="Tahoma"/>
            <family val="2"/>
          </rPr>
          <t>NOTE: 
DO NOT MAKE ANY CHANGES TO THIS COLUMN</t>
        </r>
      </text>
    </comment>
    <comment ref="A193" authorId="0">
      <text>
        <r>
          <rPr>
            <b/>
            <sz val="9"/>
            <color indexed="81"/>
            <rFont val="Tahoma"/>
            <family val="2"/>
          </rPr>
          <t>NOTE: 
DO NOT MAKE ANY CHANGES TO THIS COLUMN</t>
        </r>
      </text>
    </comment>
    <comment ref="A194" authorId="0">
      <text>
        <r>
          <rPr>
            <b/>
            <sz val="9"/>
            <color indexed="81"/>
            <rFont val="Tahoma"/>
            <family val="2"/>
          </rPr>
          <t>NOTE: 
DO NOT MAKE ANY CHANGES TO THIS COLUMN</t>
        </r>
      </text>
    </comment>
    <comment ref="A195" authorId="0">
      <text>
        <r>
          <rPr>
            <b/>
            <sz val="9"/>
            <color indexed="81"/>
            <rFont val="Tahoma"/>
            <family val="2"/>
          </rPr>
          <t>NOTE: 
DO NOT MAKE ANY CHANGES TO THIS COLUMN</t>
        </r>
      </text>
    </comment>
    <comment ref="A196" authorId="0">
      <text>
        <r>
          <rPr>
            <b/>
            <sz val="9"/>
            <color indexed="81"/>
            <rFont val="Tahoma"/>
            <family val="2"/>
          </rPr>
          <t>NOTE: 
DO NOT MAKE ANY CHANGES TO THIS COLUMN</t>
        </r>
      </text>
    </comment>
    <comment ref="A197" authorId="0">
      <text>
        <r>
          <rPr>
            <b/>
            <sz val="9"/>
            <color indexed="81"/>
            <rFont val="Tahoma"/>
            <family val="2"/>
          </rPr>
          <t>NOTE: 
DO NOT MAKE ANY CHANGES TO THIS COLUMN</t>
        </r>
      </text>
    </comment>
    <comment ref="A198" authorId="0">
      <text>
        <r>
          <rPr>
            <b/>
            <sz val="9"/>
            <color indexed="81"/>
            <rFont val="Tahoma"/>
            <family val="2"/>
          </rPr>
          <t>NOTE: 
DO NOT MAKE ANY CHANGES TO THIS COLUMN</t>
        </r>
      </text>
    </comment>
    <comment ref="A199" authorId="0">
      <text>
        <r>
          <rPr>
            <b/>
            <sz val="9"/>
            <color indexed="81"/>
            <rFont val="Tahoma"/>
            <family val="2"/>
          </rPr>
          <t>NOTE: 
DO NOT MAKE ANY CHANGES TO THIS COLUMN</t>
        </r>
      </text>
    </comment>
    <comment ref="A200" authorId="0">
      <text>
        <r>
          <rPr>
            <b/>
            <sz val="9"/>
            <color indexed="81"/>
            <rFont val="Tahoma"/>
            <family val="2"/>
          </rPr>
          <t>NOTE: 
DO NOT MAKE ANY CHANGES TO THIS COLUMN</t>
        </r>
      </text>
    </comment>
    <comment ref="A201" authorId="0">
      <text>
        <r>
          <rPr>
            <b/>
            <sz val="9"/>
            <color indexed="81"/>
            <rFont val="Tahoma"/>
            <family val="2"/>
          </rPr>
          <t>NOTE: 
DO NOT MAKE ANY CHANGES TO THIS COLUMN</t>
        </r>
      </text>
    </comment>
    <comment ref="A202" authorId="0">
      <text>
        <r>
          <rPr>
            <b/>
            <sz val="9"/>
            <color indexed="81"/>
            <rFont val="Tahoma"/>
            <family val="2"/>
          </rPr>
          <t>NOTE: 
DO NOT MAKE ANY CHANGES TO THIS COLUMN</t>
        </r>
      </text>
    </comment>
    <comment ref="A203" authorId="0">
      <text>
        <r>
          <rPr>
            <b/>
            <sz val="9"/>
            <color indexed="81"/>
            <rFont val="Tahoma"/>
            <family val="2"/>
          </rPr>
          <t>NOTE: 
DO NOT MAKE ANY CHANGES TO THIS COLUMN</t>
        </r>
      </text>
    </comment>
    <comment ref="A204" authorId="0">
      <text>
        <r>
          <rPr>
            <b/>
            <sz val="9"/>
            <color indexed="81"/>
            <rFont val="Tahoma"/>
            <family val="2"/>
          </rPr>
          <t>NOTE: 
DO NOT MAKE ANY CHANGES TO THIS COLUMN</t>
        </r>
      </text>
    </comment>
    <comment ref="A205" authorId="0">
      <text>
        <r>
          <rPr>
            <b/>
            <sz val="9"/>
            <color indexed="81"/>
            <rFont val="Tahoma"/>
            <family val="2"/>
          </rPr>
          <t>NOTE: 
DO NOT MAKE ANY CHANGES TO THIS COLUMN</t>
        </r>
      </text>
    </comment>
    <comment ref="A206" authorId="0">
      <text>
        <r>
          <rPr>
            <b/>
            <sz val="9"/>
            <color indexed="81"/>
            <rFont val="Tahoma"/>
            <family val="2"/>
          </rPr>
          <t>NOTE: 
DO NOT MAKE ANY CHANGES TO THIS COLUMN</t>
        </r>
      </text>
    </comment>
    <comment ref="A207" authorId="0">
      <text>
        <r>
          <rPr>
            <b/>
            <sz val="9"/>
            <color indexed="81"/>
            <rFont val="Tahoma"/>
            <family val="2"/>
          </rPr>
          <t>NOTE: 
DO NOT MAKE ANY CHANGES TO THIS COLUMN</t>
        </r>
      </text>
    </comment>
    <comment ref="A208" authorId="0">
      <text>
        <r>
          <rPr>
            <b/>
            <sz val="9"/>
            <color indexed="81"/>
            <rFont val="Tahoma"/>
            <family val="2"/>
          </rPr>
          <t>NOTE: 
DO NOT MAKE ANY CHANGES TO THIS COLUMN</t>
        </r>
      </text>
    </comment>
    <comment ref="A209" authorId="0">
      <text>
        <r>
          <rPr>
            <b/>
            <sz val="9"/>
            <color indexed="81"/>
            <rFont val="Tahoma"/>
            <family val="2"/>
          </rPr>
          <t>NOTE: 
DO NOT MAKE ANY CHANGES TO THIS COLUMN</t>
        </r>
      </text>
    </comment>
    <comment ref="A210" authorId="0">
      <text>
        <r>
          <rPr>
            <b/>
            <sz val="9"/>
            <color indexed="81"/>
            <rFont val="Tahoma"/>
            <family val="2"/>
          </rPr>
          <t>NOTE: 
DO NOT MAKE ANY CHANGES TO THIS COLUMN</t>
        </r>
      </text>
    </comment>
    <comment ref="A211" authorId="0">
      <text>
        <r>
          <rPr>
            <b/>
            <sz val="9"/>
            <color indexed="81"/>
            <rFont val="Tahoma"/>
            <family val="2"/>
          </rPr>
          <t>NOTE: 
DO NOT MAKE ANY CHANGES TO THIS COLUMN</t>
        </r>
      </text>
    </comment>
    <comment ref="A212" authorId="0">
      <text>
        <r>
          <rPr>
            <b/>
            <sz val="9"/>
            <color indexed="81"/>
            <rFont val="Tahoma"/>
            <family val="2"/>
          </rPr>
          <t>NOTE: 
DO NOT MAKE ANY CHANGES TO THIS COLUMN</t>
        </r>
      </text>
    </comment>
    <comment ref="A213" authorId="0">
      <text>
        <r>
          <rPr>
            <b/>
            <sz val="9"/>
            <color indexed="81"/>
            <rFont val="Tahoma"/>
            <family val="2"/>
          </rPr>
          <t>NOTE: 
DO NOT MAKE ANY CHANGES TO THIS COLUMN</t>
        </r>
      </text>
    </comment>
    <comment ref="A214" authorId="0">
      <text>
        <r>
          <rPr>
            <b/>
            <sz val="9"/>
            <color indexed="81"/>
            <rFont val="Tahoma"/>
            <family val="2"/>
          </rPr>
          <t>NOTE: 
DO NOT MAKE ANY CHANGES TO THE LOOKUP NUMBER</t>
        </r>
      </text>
    </comment>
    <comment ref="A215" authorId="0">
      <text>
        <r>
          <rPr>
            <b/>
            <sz val="9"/>
            <color indexed="81"/>
            <rFont val="Tahoma"/>
            <family val="2"/>
          </rPr>
          <t>NOTE: 
DO NOT MAKE ANY CHANGES TO THE LOOKUP NUMBER</t>
        </r>
      </text>
    </comment>
    <comment ref="A216" authorId="0">
      <text>
        <r>
          <rPr>
            <b/>
            <sz val="9"/>
            <color indexed="81"/>
            <rFont val="Tahoma"/>
            <family val="2"/>
          </rPr>
          <t>NOTE: 
DO NOT MAKE ANY CHANGES TO THE LOOKUP NUMBER</t>
        </r>
      </text>
    </comment>
    <comment ref="A217" authorId="0">
      <text>
        <r>
          <rPr>
            <b/>
            <sz val="9"/>
            <color indexed="81"/>
            <rFont val="Tahoma"/>
            <family val="2"/>
          </rPr>
          <t>NOTE: 
DO NOT MAKE ANY CHANGES TO THE LOOKUP NUMBER</t>
        </r>
      </text>
    </comment>
    <comment ref="A218" authorId="0">
      <text>
        <r>
          <rPr>
            <b/>
            <sz val="9"/>
            <color indexed="81"/>
            <rFont val="Tahoma"/>
            <family val="2"/>
          </rPr>
          <t>NOTE: 
DO NOT MAKE ANY CHANGES TO THE LOOKUP NUMBER</t>
        </r>
      </text>
    </comment>
    <comment ref="A219" authorId="0">
      <text>
        <r>
          <rPr>
            <b/>
            <sz val="9"/>
            <color indexed="81"/>
            <rFont val="Tahoma"/>
            <family val="2"/>
          </rPr>
          <t>NOTE: 
DO NOT MAKE ANY CHANGES TO THE LOOKUP NUMBER</t>
        </r>
      </text>
    </comment>
    <comment ref="A220" authorId="0">
      <text>
        <r>
          <rPr>
            <b/>
            <sz val="9"/>
            <color indexed="81"/>
            <rFont val="Tahoma"/>
            <family val="2"/>
          </rPr>
          <t>NOTE: 
DO NOT MAKE ANY CHANGES TO THE LOOKUP NUMBER</t>
        </r>
      </text>
    </comment>
    <comment ref="A221" authorId="0">
      <text>
        <r>
          <rPr>
            <b/>
            <sz val="9"/>
            <color indexed="81"/>
            <rFont val="Tahoma"/>
            <family val="2"/>
          </rPr>
          <t>NOTE: 
DO NOT MAKE ANY CHANGES TO THE LOOKUP NUMBER</t>
        </r>
      </text>
    </comment>
    <comment ref="A222" authorId="0">
      <text>
        <r>
          <rPr>
            <b/>
            <sz val="9"/>
            <color indexed="81"/>
            <rFont val="Tahoma"/>
            <family val="2"/>
          </rPr>
          <t>NOTE: 
DO NOT MAKE ANY CHANGES TO THE LOOKUP NUMBER</t>
        </r>
      </text>
    </comment>
    <comment ref="A223" authorId="0">
      <text>
        <r>
          <rPr>
            <b/>
            <sz val="9"/>
            <color indexed="81"/>
            <rFont val="Tahoma"/>
            <family val="2"/>
          </rPr>
          <t>NOTE: 
DO NOT MAKE ANY CHANGES TO THE LOOKUP NUMBER</t>
        </r>
      </text>
    </comment>
    <comment ref="A224" authorId="0">
      <text>
        <r>
          <rPr>
            <b/>
            <sz val="9"/>
            <color indexed="81"/>
            <rFont val="Tahoma"/>
            <family val="2"/>
          </rPr>
          <t>NOTE: 
DO NOT MAKE ANY CHANGES TO THE LOOKUP NUMBER</t>
        </r>
      </text>
    </comment>
    <comment ref="A225" authorId="0">
      <text>
        <r>
          <rPr>
            <b/>
            <sz val="9"/>
            <color indexed="81"/>
            <rFont val="Tahoma"/>
            <family val="2"/>
          </rPr>
          <t>NOTE: 
DO NOT MAKE ANY CHANGES TO THE LOOKUP NUMBER</t>
        </r>
      </text>
    </comment>
    <comment ref="A226" authorId="0">
      <text>
        <r>
          <rPr>
            <b/>
            <sz val="9"/>
            <color indexed="81"/>
            <rFont val="Tahoma"/>
            <family val="2"/>
          </rPr>
          <t>NOTE: 
DO NOT MAKE ANY CHANGES TO THE LOOKUP NUMBER</t>
        </r>
      </text>
    </comment>
    <comment ref="A227" authorId="0">
      <text>
        <r>
          <rPr>
            <b/>
            <sz val="9"/>
            <color indexed="81"/>
            <rFont val="Tahoma"/>
            <family val="2"/>
          </rPr>
          <t>NOTE: 
DO NOT MAKE ANY CHANGES TO THE LOOKUP NUMBER</t>
        </r>
      </text>
    </comment>
    <comment ref="A228" authorId="0">
      <text>
        <r>
          <rPr>
            <b/>
            <sz val="9"/>
            <color indexed="81"/>
            <rFont val="Tahoma"/>
            <family val="2"/>
          </rPr>
          <t>NOTE: 
DO NOT MAKE ANY CHANGES TO THE LOOKUP NUMBER</t>
        </r>
      </text>
    </comment>
    <comment ref="A229" authorId="0">
      <text>
        <r>
          <rPr>
            <b/>
            <sz val="9"/>
            <color indexed="81"/>
            <rFont val="Tahoma"/>
            <family val="2"/>
          </rPr>
          <t>NOTE: 
DO NOT MAKE ANY CHANGES TO THE LOOKUP NUMBER</t>
        </r>
      </text>
    </comment>
    <comment ref="A230" authorId="0">
      <text>
        <r>
          <rPr>
            <b/>
            <sz val="9"/>
            <color indexed="81"/>
            <rFont val="Tahoma"/>
            <family val="2"/>
          </rPr>
          <t>NOTE: 
DO NOT MAKE ANY CHANGES TO THE LOOKUP NUMBER</t>
        </r>
      </text>
    </comment>
    <comment ref="A231" authorId="0">
      <text>
        <r>
          <rPr>
            <b/>
            <sz val="9"/>
            <color indexed="81"/>
            <rFont val="Tahoma"/>
            <family val="2"/>
          </rPr>
          <t>NOTE: 
DO NOT MAKE ANY CHANGES TO THE LOOKUP NUMBER</t>
        </r>
      </text>
    </comment>
    <comment ref="A232" authorId="0">
      <text>
        <r>
          <rPr>
            <b/>
            <sz val="9"/>
            <color indexed="81"/>
            <rFont val="Tahoma"/>
            <family val="2"/>
          </rPr>
          <t>NOTE: 
DO NOT MAKE ANY CHANGES TO THE LOOKUP NUMBER</t>
        </r>
      </text>
    </comment>
    <comment ref="A233" authorId="0">
      <text>
        <r>
          <rPr>
            <b/>
            <sz val="9"/>
            <color indexed="81"/>
            <rFont val="Tahoma"/>
            <family val="2"/>
          </rPr>
          <t>NOTE: 
DO NOT MAKE ANY CHANGES TO THE LOOKUP NUMBER</t>
        </r>
      </text>
    </comment>
    <comment ref="A234" authorId="0">
      <text>
        <r>
          <rPr>
            <b/>
            <sz val="9"/>
            <color indexed="81"/>
            <rFont val="Tahoma"/>
            <family val="2"/>
          </rPr>
          <t>NOTE: 
DO NOT MAKE ANY CHANGES TO THE LOOKUP NUMBER</t>
        </r>
      </text>
    </comment>
    <comment ref="A235" authorId="0">
      <text>
        <r>
          <rPr>
            <b/>
            <sz val="9"/>
            <color indexed="81"/>
            <rFont val="Tahoma"/>
            <family val="2"/>
          </rPr>
          <t>NOTE: 
DO NOT MAKE ANY CHANGES TO THE LOOKUP NUMBER</t>
        </r>
      </text>
    </comment>
    <comment ref="A236" authorId="0">
      <text>
        <r>
          <rPr>
            <b/>
            <sz val="9"/>
            <color indexed="81"/>
            <rFont val="Tahoma"/>
            <family val="2"/>
          </rPr>
          <t>NOTE: 
DO NOT MAKE ANY CHANGES TO THE LOOKUP NUMBER</t>
        </r>
      </text>
    </comment>
    <comment ref="A237" authorId="0">
      <text>
        <r>
          <rPr>
            <b/>
            <sz val="9"/>
            <color indexed="81"/>
            <rFont val="Tahoma"/>
            <family val="2"/>
          </rPr>
          <t>NOTE: 
DO NOT MAKE ANY CHANGES TO THE LOOKUP NUMBER</t>
        </r>
      </text>
    </comment>
    <comment ref="A238" authorId="0">
      <text>
        <r>
          <rPr>
            <b/>
            <sz val="9"/>
            <color indexed="81"/>
            <rFont val="Tahoma"/>
            <family val="2"/>
          </rPr>
          <t>NOTE: 
DO NOT MAKE ANY CHANGES TO THE LOOKUP NUMBER</t>
        </r>
      </text>
    </comment>
    <comment ref="A239" authorId="0">
      <text>
        <r>
          <rPr>
            <b/>
            <sz val="9"/>
            <color indexed="81"/>
            <rFont val="Tahoma"/>
            <family val="2"/>
          </rPr>
          <t>NOTE: 
DO NOT MAKE ANY CHANGES TO THE LOOKUP NUMBER</t>
        </r>
      </text>
    </comment>
    <comment ref="A240" authorId="0">
      <text>
        <r>
          <rPr>
            <b/>
            <sz val="9"/>
            <color indexed="81"/>
            <rFont val="Tahoma"/>
            <family val="2"/>
          </rPr>
          <t>NOTE: 
DO NOT MAKE ANY CHANGES TO THE LOOKUP NUMBER</t>
        </r>
      </text>
    </comment>
    <comment ref="A241" authorId="0">
      <text>
        <r>
          <rPr>
            <b/>
            <sz val="9"/>
            <color indexed="81"/>
            <rFont val="Tahoma"/>
            <family val="2"/>
          </rPr>
          <t>NOTE: 
DO NOT MAKE ANY CHANGES TO THE LOOKUP NUMBER</t>
        </r>
      </text>
    </comment>
    <comment ref="A242" authorId="0">
      <text>
        <r>
          <rPr>
            <b/>
            <sz val="9"/>
            <color indexed="81"/>
            <rFont val="Tahoma"/>
            <family val="2"/>
          </rPr>
          <t>NOTE: 
DO NOT MAKE ANY CHANGES TO THE LOOKUP NUMBER</t>
        </r>
      </text>
    </comment>
    <comment ref="A243" authorId="0">
      <text>
        <r>
          <rPr>
            <b/>
            <sz val="9"/>
            <color indexed="81"/>
            <rFont val="Tahoma"/>
            <family val="2"/>
          </rPr>
          <t>NOTE: 
DO NOT MAKE ANY CHANGES TO THE LOOKUP NUMBER</t>
        </r>
      </text>
    </comment>
    <comment ref="A244" authorId="0">
      <text>
        <r>
          <rPr>
            <b/>
            <sz val="9"/>
            <color indexed="81"/>
            <rFont val="Tahoma"/>
            <family val="2"/>
          </rPr>
          <t>NOTE: 
DO NOT MAKE ANY CHANGES TO THE LOOKUP NUMBER</t>
        </r>
      </text>
    </comment>
    <comment ref="A245" authorId="0">
      <text>
        <r>
          <rPr>
            <b/>
            <sz val="9"/>
            <color indexed="81"/>
            <rFont val="Tahoma"/>
            <family val="2"/>
          </rPr>
          <t>NOTE: 
DO NOT MAKE ANY CHANGES TO THE LOOKUP NUMBER</t>
        </r>
      </text>
    </comment>
    <comment ref="A246" authorId="0">
      <text>
        <r>
          <rPr>
            <b/>
            <sz val="9"/>
            <color indexed="81"/>
            <rFont val="Tahoma"/>
            <family val="2"/>
          </rPr>
          <t>NOTE: 
DO NOT MAKE ANY CHANGES TO THE LOOKUP NUMBER</t>
        </r>
      </text>
    </comment>
    <comment ref="A247" authorId="0">
      <text>
        <r>
          <rPr>
            <b/>
            <sz val="9"/>
            <color indexed="81"/>
            <rFont val="Tahoma"/>
            <family val="2"/>
          </rPr>
          <t>NOTE: 
DO NOT MAKE ANY CHANGES TO THE LOOKUP NUMBER</t>
        </r>
      </text>
    </comment>
    <comment ref="A248" authorId="0">
      <text>
        <r>
          <rPr>
            <b/>
            <sz val="9"/>
            <color indexed="81"/>
            <rFont val="Tahoma"/>
            <family val="2"/>
          </rPr>
          <t>NOTE: 
DO NOT MAKE ANY CHANGES TO THE LOOKUP NUMBER</t>
        </r>
      </text>
    </comment>
    <comment ref="A249" authorId="0">
      <text>
        <r>
          <rPr>
            <b/>
            <sz val="9"/>
            <color indexed="81"/>
            <rFont val="Tahoma"/>
            <family val="2"/>
          </rPr>
          <t>NOTE: 
DO NOT MAKE ANY CHANGES TO THE LOOKUP NUMBER</t>
        </r>
      </text>
    </comment>
    <comment ref="A250" authorId="0">
      <text>
        <r>
          <rPr>
            <b/>
            <sz val="9"/>
            <color indexed="81"/>
            <rFont val="Tahoma"/>
            <family val="2"/>
          </rPr>
          <t>NOTE: 
DO NOT MAKE ANY CHANGES TO THE LOOKUP NUMBER</t>
        </r>
      </text>
    </comment>
    <comment ref="A251" authorId="0">
      <text>
        <r>
          <rPr>
            <b/>
            <sz val="9"/>
            <color indexed="81"/>
            <rFont val="Tahoma"/>
            <family val="2"/>
          </rPr>
          <t>NOTE: 
DO NOT MAKE ANY CHANGES TO THE LOOKUP NUMBER</t>
        </r>
      </text>
    </comment>
    <comment ref="A252" authorId="0">
      <text>
        <r>
          <rPr>
            <b/>
            <sz val="9"/>
            <color indexed="81"/>
            <rFont val="Tahoma"/>
            <family val="2"/>
          </rPr>
          <t>NOTE: 
DO NOT MAKE ANY CHANGES TO THE LOOKUP NUMBER</t>
        </r>
      </text>
    </comment>
    <comment ref="A253" authorId="0">
      <text>
        <r>
          <rPr>
            <b/>
            <sz val="9"/>
            <color indexed="81"/>
            <rFont val="Tahoma"/>
            <family val="2"/>
          </rPr>
          <t>NOTE: 
DO NOT MAKE ANY CHANGES TO THE LOOKUP NUMBER</t>
        </r>
      </text>
    </comment>
    <comment ref="A254" authorId="0">
      <text>
        <r>
          <rPr>
            <b/>
            <sz val="9"/>
            <color indexed="81"/>
            <rFont val="Tahoma"/>
            <family val="2"/>
          </rPr>
          <t>NOTE: 
DO NOT MAKE ANY CHANGES TO THE LOOKUP NUMBER</t>
        </r>
      </text>
    </comment>
    <comment ref="A255" authorId="0">
      <text>
        <r>
          <rPr>
            <b/>
            <sz val="9"/>
            <color indexed="81"/>
            <rFont val="Tahoma"/>
            <family val="2"/>
          </rPr>
          <t>NOTE: 
DO NOT MAKE ANY CHANGES TO THE LOOKUP NUMBER</t>
        </r>
      </text>
    </comment>
    <comment ref="A256" authorId="0">
      <text>
        <r>
          <rPr>
            <b/>
            <sz val="9"/>
            <color indexed="81"/>
            <rFont val="Tahoma"/>
            <family val="2"/>
          </rPr>
          <t>NOTE: 
DO NOT MAKE ANY CHANGES TO THE LOOKUP NUMBER</t>
        </r>
      </text>
    </comment>
    <comment ref="A257" authorId="0">
      <text>
        <r>
          <rPr>
            <b/>
            <sz val="9"/>
            <color indexed="81"/>
            <rFont val="Tahoma"/>
            <family val="2"/>
          </rPr>
          <t>NOTE: 
DO NOT MAKE ANY CHANGES TO THE LOOKUP NUMBER</t>
        </r>
      </text>
    </comment>
    <comment ref="A258" authorId="0">
      <text>
        <r>
          <rPr>
            <b/>
            <sz val="9"/>
            <color indexed="81"/>
            <rFont val="Tahoma"/>
            <family val="2"/>
          </rPr>
          <t>NOTE: 
DO NOT MAKE ANY CHANGES TO THE LOOKUP NUMBER</t>
        </r>
      </text>
    </comment>
    <comment ref="A259" authorId="0">
      <text>
        <r>
          <rPr>
            <b/>
            <sz val="9"/>
            <color indexed="81"/>
            <rFont val="Tahoma"/>
            <family val="2"/>
          </rPr>
          <t>NOTE: 
DO NOT MAKE ANY CHANGES TO THE LOOKUP NUMBER</t>
        </r>
      </text>
    </comment>
    <comment ref="A260" authorId="0">
      <text>
        <r>
          <rPr>
            <b/>
            <sz val="9"/>
            <color indexed="81"/>
            <rFont val="Tahoma"/>
            <family val="2"/>
          </rPr>
          <t>NOTE: 
DO NOT MAKE ANY CHANGES TO THE LOOKUP NUMBER</t>
        </r>
      </text>
    </comment>
    <comment ref="A261" authorId="0">
      <text>
        <r>
          <rPr>
            <b/>
            <sz val="9"/>
            <color indexed="81"/>
            <rFont val="Tahoma"/>
            <family val="2"/>
          </rPr>
          <t>NOTE: 
DO NOT MAKE ANY CHANGES TO THE LOOKUP NUMBER</t>
        </r>
      </text>
    </comment>
    <comment ref="A262" authorId="0">
      <text>
        <r>
          <rPr>
            <b/>
            <sz val="9"/>
            <color indexed="81"/>
            <rFont val="Tahoma"/>
            <family val="2"/>
          </rPr>
          <t>NOTE: 
DO NOT MAKE ANY CHANGES TO THE LOOKUP NUMBER</t>
        </r>
      </text>
    </comment>
    <comment ref="A263" authorId="0">
      <text>
        <r>
          <rPr>
            <b/>
            <sz val="9"/>
            <color indexed="81"/>
            <rFont val="Tahoma"/>
            <family val="2"/>
          </rPr>
          <t>NOTE: 
DO NOT MAKE ANY CHANGES TO THE LOOKUP NUMBER</t>
        </r>
      </text>
    </comment>
    <comment ref="A264" authorId="0">
      <text>
        <r>
          <rPr>
            <b/>
            <sz val="9"/>
            <color indexed="81"/>
            <rFont val="Tahoma"/>
            <family val="2"/>
          </rPr>
          <t>NOTE: 
DO NOT MAKE ANY CHANGES TO THE LOOKUP NUMBER</t>
        </r>
      </text>
    </comment>
    <comment ref="A265" authorId="0">
      <text>
        <r>
          <rPr>
            <b/>
            <sz val="9"/>
            <color indexed="81"/>
            <rFont val="Tahoma"/>
            <family val="2"/>
          </rPr>
          <t>NOTE: 
DO NOT MAKE ANY CHANGES TO THE LOOKUP NUMBER</t>
        </r>
      </text>
    </comment>
    <comment ref="A266" authorId="0">
      <text>
        <r>
          <rPr>
            <b/>
            <sz val="9"/>
            <color indexed="81"/>
            <rFont val="Tahoma"/>
            <family val="2"/>
          </rPr>
          <t>NOTE: 
DO NOT MAKE ANY CHANGES TO THE LOOKUP NUMBER</t>
        </r>
      </text>
    </comment>
    <comment ref="A267" authorId="0">
      <text>
        <r>
          <rPr>
            <b/>
            <sz val="9"/>
            <color indexed="81"/>
            <rFont val="Tahoma"/>
            <family val="2"/>
          </rPr>
          <t>NOTE: 
DO NOT MAKE ANY CHANGES TO THE LOOKUP NUMBER</t>
        </r>
      </text>
    </comment>
    <comment ref="A268" authorId="0">
      <text>
        <r>
          <rPr>
            <b/>
            <sz val="9"/>
            <color indexed="81"/>
            <rFont val="Tahoma"/>
            <family val="2"/>
          </rPr>
          <t>NOTE: 
DO NOT MAKE ANY CHANGES TO THE LOOKUP NUMBER</t>
        </r>
      </text>
    </comment>
    <comment ref="A269" authorId="0">
      <text>
        <r>
          <rPr>
            <b/>
            <sz val="9"/>
            <color indexed="81"/>
            <rFont val="Tahoma"/>
            <family val="2"/>
          </rPr>
          <t>NOTE: 
DO NOT MAKE ANY CHANGES TO THE LOOKUP NUMBER</t>
        </r>
      </text>
    </comment>
    <comment ref="A270" authorId="0">
      <text>
        <r>
          <rPr>
            <b/>
            <sz val="9"/>
            <color indexed="81"/>
            <rFont val="Tahoma"/>
            <family val="2"/>
          </rPr>
          <t>NOTE: 
DO NOT MAKE ANY CHANGES TO THE LOOKUP NUMBER</t>
        </r>
      </text>
    </comment>
    <comment ref="A271" authorId="0">
      <text>
        <r>
          <rPr>
            <b/>
            <sz val="9"/>
            <color indexed="81"/>
            <rFont val="Tahoma"/>
            <family val="2"/>
          </rPr>
          <t>NOTE: 
DO NOT MAKE ANY CHANGES TO THE LOOKUP NUMBER</t>
        </r>
      </text>
    </comment>
    <comment ref="A272" authorId="0">
      <text>
        <r>
          <rPr>
            <b/>
            <sz val="9"/>
            <color indexed="81"/>
            <rFont val="Tahoma"/>
            <family val="2"/>
          </rPr>
          <t>NOTE: 
DO NOT MAKE ANY CHANGES TO THE LOOKUP NUMBER</t>
        </r>
      </text>
    </comment>
    <comment ref="A273" authorId="0">
      <text>
        <r>
          <rPr>
            <b/>
            <sz val="9"/>
            <color indexed="81"/>
            <rFont val="Tahoma"/>
            <family val="2"/>
          </rPr>
          <t>NOTE: 
DO NOT MAKE ANY CHANGES TO THE LOOKUP NUMBER</t>
        </r>
      </text>
    </comment>
    <comment ref="A274" authorId="0">
      <text>
        <r>
          <rPr>
            <b/>
            <sz val="9"/>
            <color indexed="81"/>
            <rFont val="Tahoma"/>
            <family val="2"/>
          </rPr>
          <t>NOTE: 
DO NOT MAKE ANY CHANGES TO THE LOOKUP NUMBER</t>
        </r>
      </text>
    </comment>
    <comment ref="A275" authorId="0">
      <text>
        <r>
          <rPr>
            <b/>
            <sz val="9"/>
            <color indexed="81"/>
            <rFont val="Tahoma"/>
            <family val="2"/>
          </rPr>
          <t>NOTE: 
DO NOT MAKE ANY CHANGES TO THE LOOKUP NUMBER</t>
        </r>
      </text>
    </comment>
    <comment ref="A276" authorId="0">
      <text>
        <r>
          <rPr>
            <b/>
            <sz val="9"/>
            <color indexed="81"/>
            <rFont val="Tahoma"/>
            <family val="2"/>
          </rPr>
          <t>NOTE: 
DO NOT MAKE ANY CHANGES TO THE LOOKUP NUMBER</t>
        </r>
      </text>
    </comment>
    <comment ref="A277" authorId="0">
      <text>
        <r>
          <rPr>
            <b/>
            <sz val="9"/>
            <color indexed="81"/>
            <rFont val="Tahoma"/>
            <family val="2"/>
          </rPr>
          <t>NOTE: 
DO NOT MAKE ANY CHANGES TO THE LOOKUP NUMBER</t>
        </r>
      </text>
    </comment>
    <comment ref="A278" authorId="0">
      <text>
        <r>
          <rPr>
            <b/>
            <sz val="9"/>
            <color indexed="81"/>
            <rFont val="Tahoma"/>
            <family val="2"/>
          </rPr>
          <t>NOTE: 
DO NOT MAKE ANY CHANGES TO THE LOOKUP NUMBER</t>
        </r>
      </text>
    </comment>
    <comment ref="A279" authorId="0">
      <text>
        <r>
          <rPr>
            <b/>
            <sz val="9"/>
            <color indexed="81"/>
            <rFont val="Tahoma"/>
            <family val="2"/>
          </rPr>
          <t>NOTE: 
DO NOT MAKE ANY CHANGES TO THE LOOKUP NUMBER</t>
        </r>
      </text>
    </comment>
    <comment ref="A280" authorId="0">
      <text>
        <r>
          <rPr>
            <b/>
            <sz val="9"/>
            <color indexed="81"/>
            <rFont val="Tahoma"/>
            <family val="2"/>
          </rPr>
          <t>NOTE: 
DO NOT MAKE ANY CHANGES TO THE LOOKUP NUMBER</t>
        </r>
      </text>
    </comment>
    <comment ref="A281" authorId="0">
      <text>
        <r>
          <rPr>
            <b/>
            <sz val="9"/>
            <color indexed="81"/>
            <rFont val="Tahoma"/>
            <family val="2"/>
          </rPr>
          <t>NOTE: 
DO NOT MAKE ANY CHANGES TO THE LOOKUP NUMBER</t>
        </r>
      </text>
    </comment>
    <comment ref="A282" authorId="0">
      <text>
        <r>
          <rPr>
            <b/>
            <sz val="9"/>
            <color indexed="81"/>
            <rFont val="Tahoma"/>
            <family val="2"/>
          </rPr>
          <t>NOTE: 
DO NOT MAKE ANY CHANGES TO THE LOOKUP NUMBER</t>
        </r>
      </text>
    </comment>
    <comment ref="A283" authorId="0">
      <text>
        <r>
          <rPr>
            <b/>
            <sz val="9"/>
            <color indexed="81"/>
            <rFont val="Tahoma"/>
            <family val="2"/>
          </rPr>
          <t>NOTE: 
DO NOT MAKE ANY CHANGES TO THE LOOKUP NUMBER</t>
        </r>
      </text>
    </comment>
    <comment ref="A284" authorId="0">
      <text>
        <r>
          <rPr>
            <b/>
            <sz val="9"/>
            <color indexed="81"/>
            <rFont val="Tahoma"/>
            <family val="2"/>
          </rPr>
          <t>NOTE: 
DO NOT MAKE ANY CHANGES TO THE LOOKUP NUMBER</t>
        </r>
      </text>
    </comment>
    <comment ref="A285" authorId="0">
      <text>
        <r>
          <rPr>
            <b/>
            <sz val="9"/>
            <color indexed="81"/>
            <rFont val="Tahoma"/>
            <family val="2"/>
          </rPr>
          <t>NOTE: 
DO NOT MAKE ANY CHANGES TO THE LOOKUP NUMBER</t>
        </r>
      </text>
    </comment>
    <comment ref="A286" authorId="0">
      <text>
        <r>
          <rPr>
            <b/>
            <sz val="9"/>
            <color indexed="81"/>
            <rFont val="Tahoma"/>
            <family val="2"/>
          </rPr>
          <t>NOTE: 
DO NOT MAKE ANY CHANGES TO THE LOOKUP NUMBER</t>
        </r>
      </text>
    </comment>
    <comment ref="A287" authorId="0">
      <text>
        <r>
          <rPr>
            <b/>
            <sz val="9"/>
            <color indexed="81"/>
            <rFont val="Tahoma"/>
            <family val="2"/>
          </rPr>
          <t>NOTE: 
DO NOT MAKE ANY CHANGES TO THE LOOKUP NUMBER</t>
        </r>
      </text>
    </comment>
    <comment ref="A288" authorId="0">
      <text>
        <r>
          <rPr>
            <b/>
            <sz val="9"/>
            <color indexed="81"/>
            <rFont val="Tahoma"/>
            <family val="2"/>
          </rPr>
          <t>NOTE: 
DO NOT MAKE ANY CHANGES TO THE LOOKUP NUMBER</t>
        </r>
      </text>
    </comment>
    <comment ref="A289" authorId="0">
      <text>
        <r>
          <rPr>
            <b/>
            <sz val="9"/>
            <color indexed="81"/>
            <rFont val="Tahoma"/>
            <family val="2"/>
          </rPr>
          <t>NOTE: 
DO NOT MAKE ANY CHANGES TO THE LOOKUP NUMBER</t>
        </r>
      </text>
    </comment>
    <comment ref="A290" authorId="0">
      <text>
        <r>
          <rPr>
            <b/>
            <sz val="9"/>
            <color indexed="81"/>
            <rFont val="Tahoma"/>
            <family val="2"/>
          </rPr>
          <t>NOTE: 
DO NOT MAKE ANY CHANGES TO THE LOOKUP NUMBER</t>
        </r>
      </text>
    </comment>
    <comment ref="A291" authorId="0">
      <text>
        <r>
          <rPr>
            <b/>
            <sz val="9"/>
            <color indexed="81"/>
            <rFont val="Tahoma"/>
            <family val="2"/>
          </rPr>
          <t>NOTE: 
DO NOT MAKE ANY CHANGES TO THE LOOKUP NUMBER</t>
        </r>
      </text>
    </comment>
    <comment ref="A292" authorId="0">
      <text>
        <r>
          <rPr>
            <b/>
            <sz val="9"/>
            <color indexed="81"/>
            <rFont val="Tahoma"/>
            <family val="2"/>
          </rPr>
          <t>NOTE: 
DO NOT MAKE ANY CHANGES TO THE LOOKUP NUMBER</t>
        </r>
      </text>
    </comment>
    <comment ref="A293" authorId="0">
      <text>
        <r>
          <rPr>
            <b/>
            <sz val="9"/>
            <color indexed="81"/>
            <rFont val="Tahoma"/>
            <family val="2"/>
          </rPr>
          <t>NOTE: 
DO NOT MAKE ANY CHANGES TO THE LOOKUP NUMBER</t>
        </r>
      </text>
    </comment>
    <comment ref="A294" authorId="0">
      <text>
        <r>
          <rPr>
            <b/>
            <sz val="9"/>
            <color indexed="81"/>
            <rFont val="Tahoma"/>
            <family val="2"/>
          </rPr>
          <t>NOTE: 
DO NOT MAKE ANY CHANGES TO THE LOOKUP NUMBER</t>
        </r>
      </text>
    </comment>
    <comment ref="A295" authorId="0">
      <text>
        <r>
          <rPr>
            <b/>
            <sz val="9"/>
            <color indexed="81"/>
            <rFont val="Tahoma"/>
            <family val="2"/>
          </rPr>
          <t>NOTE: 
DO NOT MAKE ANY CHANGES TO THE LOOKUP NUMBER</t>
        </r>
      </text>
    </comment>
    <comment ref="A296" authorId="0">
      <text>
        <r>
          <rPr>
            <b/>
            <sz val="9"/>
            <color indexed="81"/>
            <rFont val="Tahoma"/>
            <family val="2"/>
          </rPr>
          <t>NOTE: 
DO NOT MAKE ANY CHANGES TO THE LOOKUP NUMBER</t>
        </r>
      </text>
    </comment>
    <comment ref="A297" authorId="0">
      <text>
        <r>
          <rPr>
            <b/>
            <sz val="9"/>
            <color indexed="81"/>
            <rFont val="Tahoma"/>
            <family val="2"/>
          </rPr>
          <t>NOTE: 
DO NOT MAKE ANY CHANGES TO THE LOOKUP NUMBER</t>
        </r>
      </text>
    </comment>
    <comment ref="A298" authorId="0">
      <text>
        <r>
          <rPr>
            <b/>
            <sz val="9"/>
            <color indexed="81"/>
            <rFont val="Tahoma"/>
            <family val="2"/>
          </rPr>
          <t>NOTE: 
DO NOT MAKE ANY CHANGES TO THE LOOKUP NUMBER</t>
        </r>
      </text>
    </comment>
    <comment ref="A299" authorId="0">
      <text>
        <r>
          <rPr>
            <b/>
            <sz val="9"/>
            <color indexed="81"/>
            <rFont val="Tahoma"/>
            <family val="2"/>
          </rPr>
          <t>NOTE: 
DO NOT MAKE ANY CHANGES TO THE LOOKUP NUMBER</t>
        </r>
      </text>
    </comment>
    <comment ref="A300" authorId="0">
      <text>
        <r>
          <rPr>
            <b/>
            <sz val="9"/>
            <color indexed="81"/>
            <rFont val="Tahoma"/>
            <family val="2"/>
          </rPr>
          <t>NOTE: 
DO NOT MAKE ANY CHANGES TO THE LOOKUP NUMBER</t>
        </r>
      </text>
    </comment>
    <comment ref="A301" authorId="0">
      <text>
        <r>
          <rPr>
            <b/>
            <sz val="9"/>
            <color indexed="81"/>
            <rFont val="Tahoma"/>
            <family val="2"/>
          </rPr>
          <t>NOTE: 
DO NOT MAKE ANY CHANGES TO THE LOOKUP NUMBER</t>
        </r>
      </text>
    </comment>
    <comment ref="A302" authorId="0">
      <text>
        <r>
          <rPr>
            <b/>
            <sz val="9"/>
            <color indexed="81"/>
            <rFont val="Tahoma"/>
            <family val="2"/>
          </rPr>
          <t>NOTE: 
DO NOT MAKE ANY CHANGES TO THE LOOKUP NUMBER</t>
        </r>
      </text>
    </comment>
    <comment ref="A303" authorId="0">
      <text>
        <r>
          <rPr>
            <b/>
            <sz val="9"/>
            <color indexed="81"/>
            <rFont val="Tahoma"/>
            <family val="2"/>
          </rPr>
          <t>NOTE: 
DO NOT MAKE ANY CHANGES TO THE LOOKUP NUMBER</t>
        </r>
      </text>
    </comment>
    <comment ref="A304" authorId="0">
      <text>
        <r>
          <rPr>
            <b/>
            <sz val="9"/>
            <color indexed="81"/>
            <rFont val="Tahoma"/>
            <family val="2"/>
          </rPr>
          <t>NOTE: 
DO NOT MAKE ANY CHANGES TO THE LOOKUP NUMBER</t>
        </r>
      </text>
    </comment>
    <comment ref="A305" authorId="0">
      <text>
        <r>
          <rPr>
            <b/>
            <sz val="9"/>
            <color indexed="81"/>
            <rFont val="Tahoma"/>
            <family val="2"/>
          </rPr>
          <t>NOTE: 
DO NOT MAKE ANY CHANGES TO THE LOOKUP NUMBER</t>
        </r>
      </text>
    </comment>
    <comment ref="A306" authorId="0">
      <text>
        <r>
          <rPr>
            <b/>
            <sz val="9"/>
            <color indexed="81"/>
            <rFont val="Tahoma"/>
            <family val="2"/>
          </rPr>
          <t>NOTE: 
DO NOT MAKE ANY CHANGES TO THE LOOKUP NUMBER</t>
        </r>
      </text>
    </comment>
    <comment ref="A307" authorId="0">
      <text>
        <r>
          <rPr>
            <b/>
            <sz val="9"/>
            <color indexed="81"/>
            <rFont val="Tahoma"/>
            <family val="2"/>
          </rPr>
          <t>NOTE: 
DO NOT MAKE ANY CHANGES TO THE LOOKUP NUMBER</t>
        </r>
      </text>
    </comment>
    <comment ref="A308" authorId="0">
      <text>
        <r>
          <rPr>
            <b/>
            <sz val="9"/>
            <color indexed="81"/>
            <rFont val="Tahoma"/>
            <family val="2"/>
          </rPr>
          <t>NOTE: 
DO NOT MAKE ANY CHANGES TO THE LOOKUP NUMBER</t>
        </r>
      </text>
    </comment>
    <comment ref="A309" authorId="0">
      <text>
        <r>
          <rPr>
            <b/>
            <sz val="9"/>
            <color indexed="81"/>
            <rFont val="Tahoma"/>
            <family val="2"/>
          </rPr>
          <t>NOTE: 
DO NOT MAKE ANY CHANGES TO THE LOOKUP NUMBER</t>
        </r>
      </text>
    </comment>
    <comment ref="A310" authorId="0">
      <text>
        <r>
          <rPr>
            <b/>
            <sz val="9"/>
            <color indexed="81"/>
            <rFont val="Tahoma"/>
            <family val="2"/>
          </rPr>
          <t>NOTE: 
DO NOT MAKE ANY CHANGES TO THE LOOKUP NUMBER</t>
        </r>
      </text>
    </comment>
    <comment ref="A311" authorId="0">
      <text>
        <r>
          <rPr>
            <b/>
            <sz val="9"/>
            <color indexed="81"/>
            <rFont val="Tahoma"/>
            <family val="2"/>
          </rPr>
          <t>NOTE: 
DO NOT MAKE ANY CHANGES TO THE LOOKUP NUMBER</t>
        </r>
      </text>
    </comment>
    <comment ref="A312" authorId="0">
      <text>
        <r>
          <rPr>
            <b/>
            <sz val="9"/>
            <color indexed="81"/>
            <rFont val="Tahoma"/>
            <family val="2"/>
          </rPr>
          <t>NOTE: 
DO NOT MAKE ANY CHANGES TO THE LOOKUP NUMBER</t>
        </r>
      </text>
    </comment>
    <comment ref="A313" authorId="0">
      <text>
        <r>
          <rPr>
            <b/>
            <sz val="9"/>
            <color indexed="81"/>
            <rFont val="Tahoma"/>
            <family val="2"/>
          </rPr>
          <t>NOTE: 
DO NOT MAKE ANY CHANGES TO THE LOOKUP NUMBER</t>
        </r>
      </text>
    </comment>
    <comment ref="A314" authorId="0">
      <text>
        <r>
          <rPr>
            <b/>
            <sz val="9"/>
            <color indexed="81"/>
            <rFont val="Tahoma"/>
            <family val="2"/>
          </rPr>
          <t>NOTE: 
DO NOT MAKE ANY CHANGES TO THE LOOKUP NUMBER</t>
        </r>
      </text>
    </comment>
    <comment ref="A315" authorId="0">
      <text>
        <r>
          <rPr>
            <b/>
            <sz val="9"/>
            <color indexed="81"/>
            <rFont val="Tahoma"/>
            <family val="2"/>
          </rPr>
          <t>NOTE: 
DO NOT MAKE ANY CHANGES TO THE LOOKUP NUMBER</t>
        </r>
      </text>
    </comment>
    <comment ref="A316" authorId="0">
      <text>
        <r>
          <rPr>
            <b/>
            <sz val="9"/>
            <color indexed="81"/>
            <rFont val="Tahoma"/>
            <family val="2"/>
          </rPr>
          <t>NOTE: 
DO NOT MAKE ANY CHANGES TO THE LOOKUP NUMBER</t>
        </r>
      </text>
    </comment>
    <comment ref="A317" authorId="0">
      <text>
        <r>
          <rPr>
            <b/>
            <sz val="9"/>
            <color indexed="81"/>
            <rFont val="Tahoma"/>
            <family val="2"/>
          </rPr>
          <t>NOTE: 
DO NOT MAKE ANY CHANGES TO THE LOOKUP NUMBER</t>
        </r>
      </text>
    </comment>
    <comment ref="A318" authorId="0">
      <text>
        <r>
          <rPr>
            <b/>
            <sz val="9"/>
            <color indexed="81"/>
            <rFont val="Tahoma"/>
            <family val="2"/>
          </rPr>
          <t>NOTE: 
DO NOT MAKE ANY CHANGES TO THE LOOKUP NUMBER</t>
        </r>
      </text>
    </comment>
    <comment ref="A319" authorId="0">
      <text>
        <r>
          <rPr>
            <b/>
            <sz val="9"/>
            <color indexed="81"/>
            <rFont val="Tahoma"/>
            <family val="2"/>
          </rPr>
          <t>NOTE: 
DO NOT MAKE ANY CHANGES TO THE LOOKUP NUMBER</t>
        </r>
      </text>
    </comment>
    <comment ref="A320" authorId="0">
      <text>
        <r>
          <rPr>
            <b/>
            <sz val="9"/>
            <color indexed="81"/>
            <rFont val="Tahoma"/>
            <family val="2"/>
          </rPr>
          <t>NOTE: 
DO NOT MAKE ANY CHANGES TO THE LOOKUP NUMBER</t>
        </r>
      </text>
    </comment>
    <comment ref="A321" authorId="0">
      <text>
        <r>
          <rPr>
            <b/>
            <sz val="9"/>
            <color indexed="81"/>
            <rFont val="Tahoma"/>
            <family val="2"/>
          </rPr>
          <t>NOTE: 
DO NOT MAKE ANY CHANGES TO THE LOOKUP NUMBER</t>
        </r>
      </text>
    </comment>
    <comment ref="A322" authorId="0">
      <text>
        <r>
          <rPr>
            <b/>
            <sz val="9"/>
            <color indexed="81"/>
            <rFont val="Tahoma"/>
            <family val="2"/>
          </rPr>
          <t>NOTE: 
DO NOT MAKE ANY CHANGES TO THE LOOKUP NUMBER</t>
        </r>
      </text>
    </comment>
    <comment ref="A323" authorId="0">
      <text>
        <r>
          <rPr>
            <b/>
            <sz val="9"/>
            <color indexed="81"/>
            <rFont val="Tahoma"/>
            <family val="2"/>
          </rPr>
          <t>NOTE: 
DO NOT MAKE ANY CHANGES TO THE LOOKUP NUMBER</t>
        </r>
      </text>
    </comment>
    <comment ref="A324" authorId="0">
      <text>
        <r>
          <rPr>
            <b/>
            <sz val="9"/>
            <color indexed="81"/>
            <rFont val="Tahoma"/>
            <family val="2"/>
          </rPr>
          <t>NOTE: 
DO NOT MAKE ANY CHANGES TO THE LOOKUP NUMBER</t>
        </r>
      </text>
    </comment>
    <comment ref="A325" authorId="0">
      <text>
        <r>
          <rPr>
            <b/>
            <sz val="9"/>
            <color indexed="81"/>
            <rFont val="Tahoma"/>
            <family val="2"/>
          </rPr>
          <t>NOTE: 
DO NOT MAKE ANY CHANGES TO THE LOOKUP NUMBER</t>
        </r>
      </text>
    </comment>
    <comment ref="A326" authorId="0">
      <text>
        <r>
          <rPr>
            <b/>
            <sz val="9"/>
            <color indexed="81"/>
            <rFont val="Tahoma"/>
            <family val="2"/>
          </rPr>
          <t>NOTE: 
DO NOT MAKE ANY CHANGES TO THE LOOKUP NUMBER</t>
        </r>
      </text>
    </comment>
    <comment ref="A327" authorId="0">
      <text>
        <r>
          <rPr>
            <b/>
            <sz val="9"/>
            <color indexed="81"/>
            <rFont val="Tahoma"/>
            <family val="2"/>
          </rPr>
          <t>NOTE: 
DO NOT MAKE ANY CHANGES TO THE LOOKUP NUMBER</t>
        </r>
      </text>
    </comment>
    <comment ref="A328" authorId="0">
      <text>
        <r>
          <rPr>
            <b/>
            <sz val="9"/>
            <color indexed="81"/>
            <rFont val="Tahoma"/>
            <family val="2"/>
          </rPr>
          <t>NOTE: 
DO NOT MAKE ANY CHANGES TO THE LOOKUP NUMBER</t>
        </r>
      </text>
    </comment>
    <comment ref="A329" authorId="0">
      <text>
        <r>
          <rPr>
            <b/>
            <sz val="9"/>
            <color indexed="81"/>
            <rFont val="Tahoma"/>
            <family val="2"/>
          </rPr>
          <t>NOTE: 
DO NOT MAKE ANY CHANGES TO THE LOOKUP NUMBER</t>
        </r>
      </text>
    </comment>
    <comment ref="A330" authorId="0">
      <text>
        <r>
          <rPr>
            <b/>
            <sz val="9"/>
            <color indexed="81"/>
            <rFont val="Tahoma"/>
            <family val="2"/>
          </rPr>
          <t>NOTE: 
DO NOT MAKE ANY CHANGES TO THE LOOKUP NUMBER</t>
        </r>
      </text>
    </comment>
    <comment ref="A331" authorId="0">
      <text>
        <r>
          <rPr>
            <b/>
            <sz val="9"/>
            <color indexed="81"/>
            <rFont val="Tahoma"/>
            <family val="2"/>
          </rPr>
          <t>NOTE: 
DO NOT MAKE ANY CHANGES TO THE LOOKUP NUMBER</t>
        </r>
      </text>
    </comment>
    <comment ref="A332" authorId="0">
      <text>
        <r>
          <rPr>
            <b/>
            <sz val="9"/>
            <color indexed="81"/>
            <rFont val="Tahoma"/>
            <family val="2"/>
          </rPr>
          <t>NOTE: 
DO NOT MAKE ANY CHANGES TO THE LOOKUP NUMBER</t>
        </r>
      </text>
    </comment>
    <comment ref="A333" authorId="0">
      <text>
        <r>
          <rPr>
            <b/>
            <sz val="9"/>
            <color indexed="81"/>
            <rFont val="Tahoma"/>
            <family val="2"/>
          </rPr>
          <t>NOTE: 
DO NOT MAKE ANY CHANGES TO THE LOOKUP NUMBER</t>
        </r>
      </text>
    </comment>
    <comment ref="A334" authorId="0">
      <text>
        <r>
          <rPr>
            <b/>
            <sz val="9"/>
            <color indexed="81"/>
            <rFont val="Tahoma"/>
            <family val="2"/>
          </rPr>
          <t>NOTE: 
DO NOT MAKE ANY CHANGES TO THE LOOKUP NUMBER</t>
        </r>
      </text>
    </comment>
    <comment ref="A335" authorId="0">
      <text>
        <r>
          <rPr>
            <b/>
            <sz val="9"/>
            <color indexed="81"/>
            <rFont val="Tahoma"/>
            <family val="2"/>
          </rPr>
          <t>NOTE: 
DO NOT MAKE ANY CHANGES TO THE LOOKUP NUMBER</t>
        </r>
      </text>
    </comment>
    <comment ref="A336" authorId="0">
      <text>
        <r>
          <rPr>
            <b/>
            <sz val="9"/>
            <color indexed="81"/>
            <rFont val="Tahoma"/>
            <family val="2"/>
          </rPr>
          <t>NOTE: 
DO NOT MAKE ANY CHANGES TO THE LOOKUP NUMBER</t>
        </r>
      </text>
    </comment>
    <comment ref="A337" authorId="0">
      <text>
        <r>
          <rPr>
            <b/>
            <sz val="9"/>
            <color indexed="81"/>
            <rFont val="Tahoma"/>
            <family val="2"/>
          </rPr>
          <t>NOTE: 
DO NOT MAKE ANY CHANGES TO THE LOOKUP NUMBER</t>
        </r>
      </text>
    </comment>
    <comment ref="A338" authorId="0">
      <text>
        <r>
          <rPr>
            <b/>
            <sz val="9"/>
            <color indexed="81"/>
            <rFont val="Tahoma"/>
            <family val="2"/>
          </rPr>
          <t>NOTE: 
DO NOT MAKE ANY CHANGES TO THE LOOKUP NUMBER</t>
        </r>
      </text>
    </comment>
    <comment ref="A339" authorId="0">
      <text>
        <r>
          <rPr>
            <b/>
            <sz val="9"/>
            <color indexed="81"/>
            <rFont val="Tahoma"/>
            <family val="2"/>
          </rPr>
          <t>NOTE: 
DO NOT MAKE ANY CHANGES TO THE LOOKUP NUMBER</t>
        </r>
      </text>
    </comment>
    <comment ref="A340" authorId="0">
      <text>
        <r>
          <rPr>
            <b/>
            <sz val="9"/>
            <color indexed="81"/>
            <rFont val="Tahoma"/>
            <family val="2"/>
          </rPr>
          <t>NOTE: 
DO NOT MAKE ANY CHANGES TO THE LOOKUP NUMBER</t>
        </r>
      </text>
    </comment>
    <comment ref="A341" authorId="0">
      <text>
        <r>
          <rPr>
            <b/>
            <sz val="9"/>
            <color indexed="81"/>
            <rFont val="Tahoma"/>
            <family val="2"/>
          </rPr>
          <t>NOTE: 
DO NOT MAKE ANY CHANGES TO THE LOOKUP NUMBER</t>
        </r>
      </text>
    </comment>
    <comment ref="A342" authorId="0">
      <text>
        <r>
          <rPr>
            <b/>
            <sz val="9"/>
            <color indexed="81"/>
            <rFont val="Tahoma"/>
            <family val="2"/>
          </rPr>
          <t>NOTE: 
DO NOT MAKE ANY CHANGES TO THE LOOKUP NUMBER</t>
        </r>
      </text>
    </comment>
    <comment ref="A343" authorId="0">
      <text>
        <r>
          <rPr>
            <b/>
            <sz val="9"/>
            <color indexed="81"/>
            <rFont val="Tahoma"/>
            <family val="2"/>
          </rPr>
          <t>NOTE: 
DO NOT MAKE ANY CHANGES TO THE LOOKUP NUMBER</t>
        </r>
      </text>
    </comment>
    <comment ref="A344" authorId="0">
      <text>
        <r>
          <rPr>
            <b/>
            <sz val="9"/>
            <color indexed="81"/>
            <rFont val="Tahoma"/>
            <family val="2"/>
          </rPr>
          <t>NOTE: 
DO NOT MAKE ANY CHANGES TO THE LOOKUP NUMBER</t>
        </r>
      </text>
    </comment>
    <comment ref="A345" authorId="0">
      <text>
        <r>
          <rPr>
            <b/>
            <sz val="9"/>
            <color indexed="81"/>
            <rFont val="Tahoma"/>
            <family val="2"/>
          </rPr>
          <t>NOTE: 
DO NOT MAKE ANY CHANGES TO THE LOOKUP NUMBER</t>
        </r>
      </text>
    </comment>
    <comment ref="A346" authorId="0">
      <text>
        <r>
          <rPr>
            <b/>
            <sz val="9"/>
            <color indexed="81"/>
            <rFont val="Tahoma"/>
            <family val="2"/>
          </rPr>
          <t>NOTE: 
DO NOT MAKE ANY CHANGES TO THE LOOKUP NUMBER</t>
        </r>
      </text>
    </comment>
    <comment ref="A347" authorId="0">
      <text>
        <r>
          <rPr>
            <b/>
            <sz val="9"/>
            <color indexed="81"/>
            <rFont val="Tahoma"/>
            <family val="2"/>
          </rPr>
          <t>NOTE: 
DO NOT MAKE ANY CHANGES TO THE LOOKUP NUMBER</t>
        </r>
      </text>
    </comment>
    <comment ref="A348" authorId="0">
      <text>
        <r>
          <rPr>
            <b/>
            <sz val="9"/>
            <color indexed="81"/>
            <rFont val="Tahoma"/>
            <family val="2"/>
          </rPr>
          <t>NOTE: 
DO NOT MAKE ANY CHANGES TO THE LOOKUP NUMBER</t>
        </r>
      </text>
    </comment>
    <comment ref="A349" authorId="0">
      <text>
        <r>
          <rPr>
            <b/>
            <sz val="9"/>
            <color indexed="81"/>
            <rFont val="Tahoma"/>
            <family val="2"/>
          </rPr>
          <t>NOTE: 
DO NOT MAKE ANY CHANGES TO THE LOOKUP NUMBER</t>
        </r>
      </text>
    </comment>
    <comment ref="A350" authorId="0">
      <text>
        <r>
          <rPr>
            <b/>
            <sz val="9"/>
            <color indexed="81"/>
            <rFont val="Tahoma"/>
            <family val="2"/>
          </rPr>
          <t>NOTE: 
DO NOT MAKE ANY CHANGES TO THE LOOKUP NUMBER</t>
        </r>
      </text>
    </comment>
    <comment ref="A351" authorId="0">
      <text>
        <r>
          <rPr>
            <b/>
            <sz val="9"/>
            <color indexed="81"/>
            <rFont val="Tahoma"/>
            <family val="2"/>
          </rPr>
          <t>NOTE: 
DO NOT MAKE ANY CHANGES TO THE LOOKUP NUMBER</t>
        </r>
      </text>
    </comment>
    <comment ref="A352" authorId="0">
      <text>
        <r>
          <rPr>
            <b/>
            <sz val="9"/>
            <color indexed="81"/>
            <rFont val="Tahoma"/>
            <family val="2"/>
          </rPr>
          <t>NOTE: 
DO NOT MAKE ANY CHANGES TO THE LOOKUP NUMBER</t>
        </r>
      </text>
    </comment>
    <comment ref="A353" authorId="0">
      <text>
        <r>
          <rPr>
            <b/>
            <sz val="9"/>
            <color indexed="81"/>
            <rFont val="Tahoma"/>
            <family val="2"/>
          </rPr>
          <t>NOTE: 
DO NOT MAKE ANY CHANGES TO THE LOOKUP NUMBER</t>
        </r>
      </text>
    </comment>
    <comment ref="A354" authorId="0">
      <text>
        <r>
          <rPr>
            <b/>
            <sz val="9"/>
            <color indexed="81"/>
            <rFont val="Tahoma"/>
            <family val="2"/>
          </rPr>
          <t>NOTE: 
DO NOT MAKE ANY CHANGES TO THE LOOKUP NUMBER</t>
        </r>
      </text>
    </comment>
    <comment ref="A355" authorId="0">
      <text>
        <r>
          <rPr>
            <b/>
            <sz val="9"/>
            <color indexed="81"/>
            <rFont val="Tahoma"/>
            <family val="2"/>
          </rPr>
          <t>NOTE: 
DO NOT MAKE ANY CHANGES TO THE LOOKUP NUMBER</t>
        </r>
      </text>
    </comment>
    <comment ref="A356" authorId="0">
      <text>
        <r>
          <rPr>
            <b/>
            <sz val="9"/>
            <color indexed="81"/>
            <rFont val="Tahoma"/>
            <family val="2"/>
          </rPr>
          <t>NOTE: 
DO NOT MAKE ANY CHANGES TO THE LOOKUP NUMBER</t>
        </r>
      </text>
    </comment>
    <comment ref="A357" authorId="0">
      <text>
        <r>
          <rPr>
            <b/>
            <sz val="9"/>
            <color indexed="81"/>
            <rFont val="Tahoma"/>
            <family val="2"/>
          </rPr>
          <t>NOTE: 
DO NOT MAKE ANY CHANGES TO THE LOOKUP NUMBER</t>
        </r>
      </text>
    </comment>
    <comment ref="A358" authorId="0">
      <text>
        <r>
          <rPr>
            <b/>
            <sz val="9"/>
            <color indexed="81"/>
            <rFont val="Tahoma"/>
            <family val="2"/>
          </rPr>
          <t>NOTE: 
DO NOT MAKE ANY CHANGES TO THE LOOKUP NUMBER</t>
        </r>
      </text>
    </comment>
    <comment ref="A359" authorId="0">
      <text>
        <r>
          <rPr>
            <b/>
            <sz val="9"/>
            <color indexed="81"/>
            <rFont val="Tahoma"/>
            <family val="2"/>
          </rPr>
          <t>NOTE: 
DO NOT MAKE ANY CHANGES TO THE LOOKUP NUMBER</t>
        </r>
      </text>
    </comment>
    <comment ref="A360" authorId="0">
      <text>
        <r>
          <rPr>
            <b/>
            <sz val="9"/>
            <color indexed="81"/>
            <rFont val="Tahoma"/>
            <family val="2"/>
          </rPr>
          <t>NOTE: 
DO NOT MAKE ANY CHANGES TO THE LOOKUP NUMBER</t>
        </r>
      </text>
    </comment>
    <comment ref="A361" authorId="0">
      <text>
        <r>
          <rPr>
            <b/>
            <sz val="9"/>
            <color indexed="81"/>
            <rFont val="Tahoma"/>
            <family val="2"/>
          </rPr>
          <t>NOTE: 
DO NOT MAKE ANY CHANGES TO THE LOOKUP NUMBER</t>
        </r>
      </text>
    </comment>
    <comment ref="A362" authorId="0">
      <text>
        <r>
          <rPr>
            <b/>
            <sz val="9"/>
            <color indexed="81"/>
            <rFont val="Tahoma"/>
            <family val="2"/>
          </rPr>
          <t>NOTE: 
DO NOT MAKE ANY CHANGES TO THE LOOKUP NUMBER</t>
        </r>
      </text>
    </comment>
    <comment ref="A363" authorId="0">
      <text>
        <r>
          <rPr>
            <b/>
            <sz val="9"/>
            <color indexed="81"/>
            <rFont val="Tahoma"/>
            <family val="2"/>
          </rPr>
          <t>NOTE: 
DO NOT MAKE ANY CHANGES TO THE LOOKUP NUMBER</t>
        </r>
      </text>
    </comment>
    <comment ref="A364" authorId="0">
      <text>
        <r>
          <rPr>
            <b/>
            <sz val="9"/>
            <color indexed="81"/>
            <rFont val="Tahoma"/>
            <family val="2"/>
          </rPr>
          <t>NOTE: 
DO NOT MAKE ANY CHANGES TO THE LOOKUP NUMBER</t>
        </r>
      </text>
    </comment>
    <comment ref="A365" authorId="0">
      <text>
        <r>
          <rPr>
            <b/>
            <sz val="9"/>
            <color indexed="81"/>
            <rFont val="Tahoma"/>
            <family val="2"/>
          </rPr>
          <t>NOTE: 
DO NOT MAKE ANY CHANGES TO THE LOOKUP NUMBER</t>
        </r>
      </text>
    </comment>
    <comment ref="A366" authorId="0">
      <text>
        <r>
          <rPr>
            <b/>
            <sz val="9"/>
            <color indexed="81"/>
            <rFont val="Tahoma"/>
            <family val="2"/>
          </rPr>
          <t>NOTE: 
DO NOT MAKE ANY CHANGES TO THE LOOKUP NUMBER</t>
        </r>
      </text>
    </comment>
    <comment ref="A367" authorId="0">
      <text>
        <r>
          <rPr>
            <b/>
            <sz val="9"/>
            <color indexed="81"/>
            <rFont val="Tahoma"/>
            <family val="2"/>
          </rPr>
          <t>NOTE: 
DO NOT MAKE ANY CHANGES TO THE LOOKUP NUMBER</t>
        </r>
      </text>
    </comment>
    <comment ref="A368" authorId="0">
      <text>
        <r>
          <rPr>
            <b/>
            <sz val="9"/>
            <color indexed="81"/>
            <rFont val="Tahoma"/>
            <family val="2"/>
          </rPr>
          <t>NOTE: 
DO NOT MAKE ANY CHANGES TO THE LOOKUP NUMBER</t>
        </r>
      </text>
    </comment>
    <comment ref="A369" authorId="0">
      <text>
        <r>
          <rPr>
            <b/>
            <sz val="9"/>
            <color indexed="81"/>
            <rFont val="Tahoma"/>
            <family val="2"/>
          </rPr>
          <t>NOTE: 
DO NOT MAKE ANY CHANGES TO THE LOOKUP NUMBER</t>
        </r>
      </text>
    </comment>
    <comment ref="A370" authorId="0">
      <text>
        <r>
          <rPr>
            <b/>
            <sz val="9"/>
            <color indexed="81"/>
            <rFont val="Tahoma"/>
            <family val="2"/>
          </rPr>
          <t>NOTE: 
DO NOT MAKE ANY CHANGES TO THE LOOKUP NUMBER</t>
        </r>
      </text>
    </comment>
    <comment ref="A371" authorId="0">
      <text>
        <r>
          <rPr>
            <b/>
            <sz val="9"/>
            <color indexed="81"/>
            <rFont val="Tahoma"/>
            <family val="2"/>
          </rPr>
          <t>NOTE: 
DO NOT MAKE ANY CHANGES TO THE LOOKUP NUMBER</t>
        </r>
      </text>
    </comment>
    <comment ref="A372" authorId="0">
      <text>
        <r>
          <rPr>
            <b/>
            <sz val="9"/>
            <color indexed="81"/>
            <rFont val="Tahoma"/>
            <family val="2"/>
          </rPr>
          <t>NOTE: 
DO NOT MAKE ANY CHANGES TO THE LOOKUP NUMBER</t>
        </r>
      </text>
    </comment>
    <comment ref="A373" authorId="0">
      <text>
        <r>
          <rPr>
            <b/>
            <sz val="9"/>
            <color indexed="81"/>
            <rFont val="Tahoma"/>
            <family val="2"/>
          </rPr>
          <t>NOTE: 
DO NOT MAKE ANY CHANGES TO THE LOOKUP NUMBER</t>
        </r>
      </text>
    </comment>
    <comment ref="A374" authorId="0">
      <text>
        <r>
          <rPr>
            <b/>
            <sz val="9"/>
            <color indexed="81"/>
            <rFont val="Tahoma"/>
            <family val="2"/>
          </rPr>
          <t>NOTE: 
DO NOT MAKE ANY CHANGES TO THE LOOKUP NUMBER</t>
        </r>
      </text>
    </comment>
    <comment ref="A375" authorId="0">
      <text>
        <r>
          <rPr>
            <b/>
            <sz val="9"/>
            <color indexed="81"/>
            <rFont val="Tahoma"/>
            <family val="2"/>
          </rPr>
          <t>NOTE: 
DO NOT MAKE ANY CHANGES TO THE LOOKUP NUMBER</t>
        </r>
      </text>
    </comment>
    <comment ref="A376" authorId="0">
      <text>
        <r>
          <rPr>
            <b/>
            <sz val="9"/>
            <color indexed="81"/>
            <rFont val="Tahoma"/>
            <family val="2"/>
          </rPr>
          <t>NOTE: 
DO NOT MAKE ANY CHANGES TO THE LOOKUP NUMBER</t>
        </r>
      </text>
    </comment>
    <comment ref="A377" authorId="0">
      <text>
        <r>
          <rPr>
            <b/>
            <sz val="9"/>
            <color indexed="81"/>
            <rFont val="Tahoma"/>
            <family val="2"/>
          </rPr>
          <t>NOTE: 
DO NOT MAKE ANY CHANGES TO THE LOOKUP NUMBER</t>
        </r>
      </text>
    </comment>
    <comment ref="A378" authorId="0">
      <text>
        <r>
          <rPr>
            <b/>
            <sz val="9"/>
            <color indexed="81"/>
            <rFont val="Tahoma"/>
            <family val="2"/>
          </rPr>
          <t>NOTE: 
DO NOT MAKE ANY CHANGES TO THE LOOKUP NUMBER</t>
        </r>
      </text>
    </comment>
    <comment ref="A379" authorId="0">
      <text>
        <r>
          <rPr>
            <b/>
            <sz val="9"/>
            <color indexed="81"/>
            <rFont val="Tahoma"/>
            <family val="2"/>
          </rPr>
          <t>NOTE: 
DO NOT MAKE ANY CHANGES TO THE LOOKUP NUMBER</t>
        </r>
      </text>
    </comment>
    <comment ref="A380" authorId="0">
      <text>
        <r>
          <rPr>
            <b/>
            <sz val="9"/>
            <color indexed="81"/>
            <rFont val="Tahoma"/>
            <family val="2"/>
          </rPr>
          <t>NOTE: 
DO NOT MAKE ANY CHANGES TO THE LOOKUP NUMBER</t>
        </r>
      </text>
    </comment>
    <comment ref="A381" authorId="0">
      <text>
        <r>
          <rPr>
            <b/>
            <sz val="9"/>
            <color indexed="81"/>
            <rFont val="Tahoma"/>
            <family val="2"/>
          </rPr>
          <t>NOTE: 
DO NOT MAKE ANY CHANGES TO THE LOOKUP NUMBER</t>
        </r>
      </text>
    </comment>
    <comment ref="A382" authorId="0">
      <text>
        <r>
          <rPr>
            <b/>
            <sz val="9"/>
            <color indexed="81"/>
            <rFont val="Tahoma"/>
            <family val="2"/>
          </rPr>
          <t>NOTE: 
DO NOT MAKE ANY CHANGES TO THE LOOKUP NUMBER</t>
        </r>
      </text>
    </comment>
    <comment ref="A383" authorId="0">
      <text>
        <r>
          <rPr>
            <b/>
            <sz val="9"/>
            <color indexed="81"/>
            <rFont val="Tahoma"/>
            <family val="2"/>
          </rPr>
          <t>NOTE: 
DO NOT MAKE ANY CHANGES TO THE LOOKUP NUMBER</t>
        </r>
      </text>
    </comment>
    <comment ref="A384" authorId="0">
      <text>
        <r>
          <rPr>
            <b/>
            <sz val="9"/>
            <color indexed="81"/>
            <rFont val="Tahoma"/>
            <family val="2"/>
          </rPr>
          <t>NOTE: 
DO NOT MAKE ANY CHANGES TO THE LOOKUP NUMBER</t>
        </r>
      </text>
    </comment>
    <comment ref="A385" authorId="0">
      <text>
        <r>
          <rPr>
            <b/>
            <sz val="9"/>
            <color indexed="81"/>
            <rFont val="Tahoma"/>
            <family val="2"/>
          </rPr>
          <t>NOTE: 
DO NOT MAKE ANY CHANGES TO THE LOOKUP NUMBER</t>
        </r>
      </text>
    </comment>
    <comment ref="A386" authorId="0">
      <text>
        <r>
          <rPr>
            <b/>
            <sz val="9"/>
            <color indexed="81"/>
            <rFont val="Tahoma"/>
            <family val="2"/>
          </rPr>
          <t>NOTE: 
DO NOT MAKE ANY CHANGES TO THE LOOKUP NUMBER</t>
        </r>
      </text>
    </comment>
    <comment ref="A387" authorId="0">
      <text>
        <r>
          <rPr>
            <b/>
            <sz val="9"/>
            <color indexed="81"/>
            <rFont val="Tahoma"/>
            <family val="2"/>
          </rPr>
          <t>NOTE: 
DO NOT MAKE ANY CHANGES TO THE LOOKUP NUMBER</t>
        </r>
      </text>
    </comment>
    <comment ref="A388" authorId="0">
      <text>
        <r>
          <rPr>
            <b/>
            <sz val="9"/>
            <color indexed="81"/>
            <rFont val="Tahoma"/>
            <family val="2"/>
          </rPr>
          <t>NOTE: 
DO NOT MAKE ANY CHANGES TO THE LOOKUP NUMBER</t>
        </r>
      </text>
    </comment>
    <comment ref="A389" authorId="0">
      <text>
        <r>
          <rPr>
            <b/>
            <sz val="9"/>
            <color indexed="81"/>
            <rFont val="Tahoma"/>
            <family val="2"/>
          </rPr>
          <t>NOTE: 
DO NOT MAKE ANY CHANGES TO THE LOOKUP NUMBER</t>
        </r>
      </text>
    </comment>
    <comment ref="A390" authorId="0">
      <text>
        <r>
          <rPr>
            <b/>
            <sz val="9"/>
            <color indexed="81"/>
            <rFont val="Tahoma"/>
            <family val="2"/>
          </rPr>
          <t>NOTE: 
DO NOT MAKE ANY CHANGES TO THE LOOKUP NUMBER</t>
        </r>
      </text>
    </comment>
    <comment ref="A391" authorId="0">
      <text>
        <r>
          <rPr>
            <b/>
            <sz val="9"/>
            <color indexed="81"/>
            <rFont val="Tahoma"/>
            <family val="2"/>
          </rPr>
          <t>NOTE: 
DO NOT MAKE ANY CHANGES TO THE LOOKUP NUMBER</t>
        </r>
      </text>
    </comment>
    <comment ref="A392" authorId="0">
      <text>
        <r>
          <rPr>
            <b/>
            <sz val="9"/>
            <color indexed="81"/>
            <rFont val="Tahoma"/>
            <family val="2"/>
          </rPr>
          <t>NOTE: 
DO NOT MAKE ANY CHANGES TO THE LOOKUP NUMBER</t>
        </r>
      </text>
    </comment>
    <comment ref="A393" authorId="0">
      <text>
        <r>
          <rPr>
            <b/>
            <sz val="9"/>
            <color indexed="81"/>
            <rFont val="Tahoma"/>
            <family val="2"/>
          </rPr>
          <t>NOTE: 
DO NOT MAKE ANY CHANGES TO THE LOOKUP NUMBER</t>
        </r>
      </text>
    </comment>
    <comment ref="A394" authorId="0">
      <text>
        <r>
          <rPr>
            <b/>
            <sz val="9"/>
            <color indexed="81"/>
            <rFont val="Tahoma"/>
            <family val="2"/>
          </rPr>
          <t>NOTE: 
DO NOT MAKE ANY CHANGES TO THE LOOKUP NUMBER</t>
        </r>
      </text>
    </comment>
    <comment ref="A395" authorId="0">
      <text>
        <r>
          <rPr>
            <b/>
            <sz val="9"/>
            <color indexed="81"/>
            <rFont val="Tahoma"/>
            <family val="2"/>
          </rPr>
          <t>NOTE: 
DO NOT MAKE ANY CHANGES TO THE LOOKUP NUMBER</t>
        </r>
      </text>
    </comment>
    <comment ref="A396" authorId="0">
      <text>
        <r>
          <rPr>
            <b/>
            <sz val="9"/>
            <color indexed="81"/>
            <rFont val="Tahoma"/>
            <family val="2"/>
          </rPr>
          <t>NOTE: 
DO NOT MAKE ANY CHANGES TO THE LOOKUP NUMBER</t>
        </r>
      </text>
    </comment>
    <comment ref="A397" authorId="0">
      <text>
        <r>
          <rPr>
            <b/>
            <sz val="9"/>
            <color indexed="81"/>
            <rFont val="Tahoma"/>
            <family val="2"/>
          </rPr>
          <t>NOTE: 
DO NOT MAKE ANY CHANGES TO THE LOOKUP NUMBER</t>
        </r>
      </text>
    </comment>
    <comment ref="A398" authorId="0">
      <text>
        <r>
          <rPr>
            <b/>
            <sz val="9"/>
            <color indexed="81"/>
            <rFont val="Tahoma"/>
            <family val="2"/>
          </rPr>
          <t>NOTE: 
DO NOT MAKE ANY CHANGES TO THE LOOKUP NUMBER</t>
        </r>
      </text>
    </comment>
    <comment ref="A399" authorId="0">
      <text>
        <r>
          <rPr>
            <b/>
            <sz val="9"/>
            <color indexed="81"/>
            <rFont val="Tahoma"/>
            <family val="2"/>
          </rPr>
          <t>NOTE: 
DO NOT MAKE ANY CHANGES TO THE LOOKUP NUMBER</t>
        </r>
      </text>
    </comment>
    <comment ref="A400" authorId="0">
      <text>
        <r>
          <rPr>
            <b/>
            <sz val="9"/>
            <color indexed="81"/>
            <rFont val="Tahoma"/>
            <family val="2"/>
          </rPr>
          <t>NOTE: 
DO NOT MAKE ANY CHANGES TO THE LOOKUP NUMBER</t>
        </r>
      </text>
    </comment>
    <comment ref="A401" authorId="0">
      <text>
        <r>
          <rPr>
            <b/>
            <sz val="9"/>
            <color indexed="81"/>
            <rFont val="Tahoma"/>
            <family val="2"/>
          </rPr>
          <t>NOTE: 
DO NOT MAKE ANY CHANGES TO THE LOOKUP NUMBER</t>
        </r>
      </text>
    </comment>
    <comment ref="A402" authorId="0">
      <text>
        <r>
          <rPr>
            <b/>
            <sz val="9"/>
            <color indexed="81"/>
            <rFont val="Tahoma"/>
            <family val="2"/>
          </rPr>
          <t>NOTE: 
DO NOT MAKE ANY CHANGES TO THE LOOKUP NUMBER</t>
        </r>
      </text>
    </comment>
    <comment ref="A403" authorId="0">
      <text>
        <r>
          <rPr>
            <b/>
            <sz val="9"/>
            <color indexed="81"/>
            <rFont val="Tahoma"/>
            <family val="2"/>
          </rPr>
          <t>NOTE: 
DO NOT MAKE ANY CHANGES TO THE LOOKUP NUMBER</t>
        </r>
      </text>
    </comment>
    <comment ref="A404" authorId="0">
      <text>
        <r>
          <rPr>
            <b/>
            <sz val="9"/>
            <color indexed="81"/>
            <rFont val="Tahoma"/>
            <family val="2"/>
          </rPr>
          <t>NOTE: 
DO NOT MAKE ANY CHANGES TO THE LOOKUP NUMBER</t>
        </r>
      </text>
    </comment>
    <comment ref="A405" authorId="0">
      <text>
        <r>
          <rPr>
            <b/>
            <sz val="9"/>
            <color indexed="81"/>
            <rFont val="Tahoma"/>
            <family val="2"/>
          </rPr>
          <t>NOTE: 
DO NOT MAKE ANY CHANGES TO THE LOOKUP NUMBER</t>
        </r>
      </text>
    </comment>
    <comment ref="A406" authorId="0">
      <text>
        <r>
          <rPr>
            <b/>
            <sz val="9"/>
            <color indexed="81"/>
            <rFont val="Tahoma"/>
            <family val="2"/>
          </rPr>
          <t>NOTE: 
DO NOT MAKE ANY CHANGES TO THE LOOKUP NUMBER</t>
        </r>
      </text>
    </comment>
    <comment ref="A407" authorId="0">
      <text>
        <r>
          <rPr>
            <b/>
            <sz val="9"/>
            <color indexed="81"/>
            <rFont val="Tahoma"/>
            <family val="2"/>
          </rPr>
          <t>NOTE: 
DO NOT MAKE ANY CHANGES TO THE LOOKUP NUMBER</t>
        </r>
      </text>
    </comment>
    <comment ref="A408" authorId="0">
      <text>
        <r>
          <rPr>
            <b/>
            <sz val="9"/>
            <color indexed="81"/>
            <rFont val="Tahoma"/>
            <family val="2"/>
          </rPr>
          <t>NOTE: 
DO NOT MAKE ANY CHANGES TO THE LOOKUP NUMBER</t>
        </r>
      </text>
    </comment>
    <comment ref="A409" authorId="0">
      <text>
        <r>
          <rPr>
            <b/>
            <sz val="9"/>
            <color indexed="81"/>
            <rFont val="Tahoma"/>
            <family val="2"/>
          </rPr>
          <t>NOTE: 
DO NOT MAKE ANY CHANGES TO THE LOOKUP NUMBER</t>
        </r>
      </text>
    </comment>
    <comment ref="A410" authorId="0">
      <text>
        <r>
          <rPr>
            <b/>
            <sz val="9"/>
            <color indexed="81"/>
            <rFont val="Tahoma"/>
            <family val="2"/>
          </rPr>
          <t>NOTE: 
DO NOT MAKE ANY CHANGES TO THE LOOKUP NUMBER</t>
        </r>
      </text>
    </comment>
    <comment ref="A411" authorId="0">
      <text>
        <r>
          <rPr>
            <b/>
            <sz val="9"/>
            <color indexed="81"/>
            <rFont val="Tahoma"/>
            <family val="2"/>
          </rPr>
          <t>NOTE: 
DO NOT MAKE ANY CHANGES TO THE LOOKUP NUMBER</t>
        </r>
      </text>
    </comment>
  </commentList>
</comments>
</file>

<file path=xl/comments3.xml><?xml version="1.0" encoding="utf-8"?>
<comments xmlns="http://schemas.openxmlformats.org/spreadsheetml/2006/main">
  <authors>
    <author>Selva</author>
  </authors>
  <commentList>
    <comment ref="F2" authorId="0">
      <text>
        <r>
          <rPr>
            <b/>
            <sz val="9"/>
            <color indexed="81"/>
            <rFont val="Tahoma"/>
            <family val="2"/>
          </rPr>
          <t>DO NOT MAKE ANY CHANGES</t>
        </r>
      </text>
    </comment>
    <comment ref="G2" authorId="0">
      <text>
        <r>
          <rPr>
            <b/>
            <sz val="9"/>
            <color indexed="81"/>
            <rFont val="Tahoma"/>
            <family val="2"/>
          </rPr>
          <t>DO NOT MAKE ANY CHANGES</t>
        </r>
      </text>
    </comment>
    <comment ref="H2" authorId="0">
      <text>
        <r>
          <rPr>
            <b/>
            <sz val="9"/>
            <color indexed="81"/>
            <rFont val="Tahoma"/>
            <family val="2"/>
          </rPr>
          <t>DO NOT MAKE ANY CHANGES</t>
        </r>
      </text>
    </comment>
    <comment ref="F3" authorId="0">
      <text>
        <r>
          <rPr>
            <b/>
            <sz val="9"/>
            <color indexed="81"/>
            <rFont val="Tahoma"/>
            <family val="2"/>
          </rPr>
          <t>DO NOT MAKE ANY CHANGES</t>
        </r>
      </text>
    </comment>
    <comment ref="G3" authorId="0">
      <text>
        <r>
          <rPr>
            <b/>
            <sz val="9"/>
            <color indexed="81"/>
            <rFont val="Tahoma"/>
            <family val="2"/>
          </rPr>
          <t>DO NOT MAKE ANY CHANGES</t>
        </r>
      </text>
    </comment>
    <comment ref="H3" authorId="0">
      <text>
        <r>
          <rPr>
            <b/>
            <sz val="9"/>
            <color indexed="81"/>
            <rFont val="Tahoma"/>
            <family val="2"/>
          </rPr>
          <t>DO NOT MAKE ANY CHANGES</t>
        </r>
      </text>
    </comment>
    <comment ref="F4" authorId="0">
      <text>
        <r>
          <rPr>
            <b/>
            <sz val="9"/>
            <color indexed="81"/>
            <rFont val="Tahoma"/>
            <family val="2"/>
          </rPr>
          <t>DO NOT MAKE ANY CHANGES</t>
        </r>
      </text>
    </comment>
    <comment ref="G4" authorId="0">
      <text>
        <r>
          <rPr>
            <b/>
            <sz val="9"/>
            <color indexed="81"/>
            <rFont val="Tahoma"/>
            <family val="2"/>
          </rPr>
          <t>DO NOT MAKE ANY CHANGES</t>
        </r>
      </text>
    </comment>
    <comment ref="H4" authorId="0">
      <text>
        <r>
          <rPr>
            <b/>
            <sz val="9"/>
            <color indexed="81"/>
            <rFont val="Tahoma"/>
            <family val="2"/>
          </rPr>
          <t>DO NOT MAKE ANY CHANGES</t>
        </r>
      </text>
    </comment>
    <comment ref="F5" authorId="0">
      <text>
        <r>
          <rPr>
            <b/>
            <sz val="9"/>
            <color indexed="81"/>
            <rFont val="Tahoma"/>
            <family val="2"/>
          </rPr>
          <t>DO NOT MAKE ANY CHANGES</t>
        </r>
      </text>
    </comment>
    <comment ref="G5" authorId="0">
      <text>
        <r>
          <rPr>
            <b/>
            <sz val="9"/>
            <color indexed="81"/>
            <rFont val="Tahoma"/>
            <family val="2"/>
          </rPr>
          <t>DO NOT MAKE ANY CHANGES</t>
        </r>
      </text>
    </comment>
    <comment ref="H5" authorId="0">
      <text>
        <r>
          <rPr>
            <b/>
            <sz val="9"/>
            <color indexed="81"/>
            <rFont val="Tahoma"/>
            <family val="2"/>
          </rPr>
          <t>DO NOT MAKE ANY CHANGES</t>
        </r>
      </text>
    </comment>
    <comment ref="F6" authorId="0">
      <text>
        <r>
          <rPr>
            <b/>
            <sz val="9"/>
            <color indexed="81"/>
            <rFont val="Tahoma"/>
            <family val="2"/>
          </rPr>
          <t>DO NOT MAKE ANY CHANGES</t>
        </r>
      </text>
    </comment>
    <comment ref="G6" authorId="0">
      <text>
        <r>
          <rPr>
            <b/>
            <sz val="9"/>
            <color indexed="81"/>
            <rFont val="Tahoma"/>
            <family val="2"/>
          </rPr>
          <t>DO NOT MAKE ANY CHANGES</t>
        </r>
      </text>
    </comment>
    <comment ref="H6" authorId="0">
      <text>
        <r>
          <rPr>
            <b/>
            <sz val="9"/>
            <color indexed="81"/>
            <rFont val="Tahoma"/>
            <family val="2"/>
          </rPr>
          <t>DO NOT MAKE ANY CHANGES</t>
        </r>
      </text>
    </comment>
    <comment ref="F7" authorId="0">
      <text>
        <r>
          <rPr>
            <b/>
            <sz val="9"/>
            <color indexed="81"/>
            <rFont val="Tahoma"/>
            <family val="2"/>
          </rPr>
          <t>DO NOT MAKE ANY CHANGES</t>
        </r>
      </text>
    </comment>
    <comment ref="G7" authorId="0">
      <text>
        <r>
          <rPr>
            <b/>
            <sz val="9"/>
            <color indexed="81"/>
            <rFont val="Tahoma"/>
            <family val="2"/>
          </rPr>
          <t>DO NOT MAKE ANY CHANGES</t>
        </r>
      </text>
    </comment>
    <comment ref="H7" authorId="0">
      <text>
        <r>
          <rPr>
            <b/>
            <sz val="9"/>
            <color indexed="81"/>
            <rFont val="Tahoma"/>
            <family val="2"/>
          </rPr>
          <t>DO NOT MAKE ANY CHANGES</t>
        </r>
      </text>
    </comment>
    <comment ref="F8" authorId="0">
      <text>
        <r>
          <rPr>
            <b/>
            <sz val="9"/>
            <color indexed="81"/>
            <rFont val="Tahoma"/>
            <family val="2"/>
          </rPr>
          <t>DO NOT MAKE ANY CHANGES</t>
        </r>
      </text>
    </comment>
    <comment ref="G8" authorId="0">
      <text>
        <r>
          <rPr>
            <b/>
            <sz val="9"/>
            <color indexed="81"/>
            <rFont val="Tahoma"/>
            <family val="2"/>
          </rPr>
          <t>DO NOT MAKE ANY CHANGES</t>
        </r>
      </text>
    </comment>
    <comment ref="H8" authorId="0">
      <text>
        <r>
          <rPr>
            <b/>
            <sz val="9"/>
            <color indexed="81"/>
            <rFont val="Tahoma"/>
            <family val="2"/>
          </rPr>
          <t>DO NOT MAKE ANY CHANGES</t>
        </r>
      </text>
    </comment>
    <comment ref="F9" authorId="0">
      <text>
        <r>
          <rPr>
            <b/>
            <sz val="9"/>
            <color indexed="81"/>
            <rFont val="Tahoma"/>
            <family val="2"/>
          </rPr>
          <t>DO NOT MAKE ANY CHANGES</t>
        </r>
      </text>
    </comment>
    <comment ref="G9" authorId="0">
      <text>
        <r>
          <rPr>
            <b/>
            <sz val="9"/>
            <color indexed="81"/>
            <rFont val="Tahoma"/>
            <family val="2"/>
          </rPr>
          <t>DO NOT MAKE ANY CHANGES</t>
        </r>
      </text>
    </comment>
    <comment ref="H9" authorId="0">
      <text>
        <r>
          <rPr>
            <b/>
            <sz val="9"/>
            <color indexed="81"/>
            <rFont val="Tahoma"/>
            <family val="2"/>
          </rPr>
          <t>DO NOT MAKE ANY CHANGES</t>
        </r>
      </text>
    </comment>
    <comment ref="F10" authorId="0">
      <text>
        <r>
          <rPr>
            <b/>
            <sz val="9"/>
            <color indexed="81"/>
            <rFont val="Tahoma"/>
            <family val="2"/>
          </rPr>
          <t>DO NOT MAKE ANY CHANGES</t>
        </r>
      </text>
    </comment>
    <comment ref="G10" authorId="0">
      <text>
        <r>
          <rPr>
            <b/>
            <sz val="9"/>
            <color indexed="81"/>
            <rFont val="Tahoma"/>
            <family val="2"/>
          </rPr>
          <t>DO NOT MAKE ANY CHANGES</t>
        </r>
      </text>
    </comment>
    <comment ref="H10" authorId="0">
      <text>
        <r>
          <rPr>
            <b/>
            <sz val="9"/>
            <color indexed="81"/>
            <rFont val="Tahoma"/>
            <family val="2"/>
          </rPr>
          <t>DO NOT MAKE ANY CHANGES</t>
        </r>
      </text>
    </comment>
    <comment ref="F11" authorId="0">
      <text>
        <r>
          <rPr>
            <b/>
            <sz val="9"/>
            <color indexed="81"/>
            <rFont val="Tahoma"/>
            <family val="2"/>
          </rPr>
          <t>DO NOT MAKE ANY CHANGES</t>
        </r>
      </text>
    </comment>
    <comment ref="G11" authorId="0">
      <text>
        <r>
          <rPr>
            <b/>
            <sz val="9"/>
            <color indexed="81"/>
            <rFont val="Tahoma"/>
            <family val="2"/>
          </rPr>
          <t>DO NOT MAKE ANY CHANGES</t>
        </r>
      </text>
    </comment>
    <comment ref="H11" authorId="0">
      <text>
        <r>
          <rPr>
            <b/>
            <sz val="9"/>
            <color indexed="81"/>
            <rFont val="Tahoma"/>
            <family val="2"/>
          </rPr>
          <t>DO NOT MAKE ANY CHANGES</t>
        </r>
      </text>
    </comment>
    <comment ref="F12" authorId="0">
      <text>
        <r>
          <rPr>
            <b/>
            <sz val="9"/>
            <color indexed="81"/>
            <rFont val="Tahoma"/>
            <family val="2"/>
          </rPr>
          <t>DO NOT MAKE ANY CHANGES</t>
        </r>
      </text>
    </comment>
    <comment ref="G12" authorId="0">
      <text>
        <r>
          <rPr>
            <b/>
            <sz val="9"/>
            <color indexed="81"/>
            <rFont val="Tahoma"/>
            <family val="2"/>
          </rPr>
          <t>DO NOT MAKE ANY CHANGES</t>
        </r>
      </text>
    </comment>
    <comment ref="H12" authorId="0">
      <text>
        <r>
          <rPr>
            <b/>
            <sz val="9"/>
            <color indexed="81"/>
            <rFont val="Tahoma"/>
            <family val="2"/>
          </rPr>
          <t>DO NOT MAKE ANY CHANGES</t>
        </r>
      </text>
    </comment>
    <comment ref="F13" authorId="0">
      <text>
        <r>
          <rPr>
            <b/>
            <sz val="9"/>
            <color indexed="81"/>
            <rFont val="Tahoma"/>
            <family val="2"/>
          </rPr>
          <t>DO NOT MAKE ANY CHANGES</t>
        </r>
      </text>
    </comment>
    <comment ref="G13" authorId="0">
      <text>
        <r>
          <rPr>
            <b/>
            <sz val="9"/>
            <color indexed="81"/>
            <rFont val="Tahoma"/>
            <family val="2"/>
          </rPr>
          <t>DO NOT MAKE ANY CHANGES</t>
        </r>
      </text>
    </comment>
    <comment ref="H13" authorId="0">
      <text>
        <r>
          <rPr>
            <b/>
            <sz val="9"/>
            <color indexed="81"/>
            <rFont val="Tahoma"/>
            <family val="2"/>
          </rPr>
          <t>DO NOT MAKE ANY CHANGES</t>
        </r>
      </text>
    </comment>
    <comment ref="F14" authorId="0">
      <text>
        <r>
          <rPr>
            <b/>
            <sz val="9"/>
            <color indexed="81"/>
            <rFont val="Tahoma"/>
            <family val="2"/>
          </rPr>
          <t>DO NOT MAKE ANY CHANGES</t>
        </r>
      </text>
    </comment>
    <comment ref="G14" authorId="0">
      <text>
        <r>
          <rPr>
            <b/>
            <sz val="9"/>
            <color indexed="81"/>
            <rFont val="Tahoma"/>
            <family val="2"/>
          </rPr>
          <t>DO NOT MAKE ANY CHANGES</t>
        </r>
      </text>
    </comment>
    <comment ref="H14" authorId="0">
      <text>
        <r>
          <rPr>
            <b/>
            <sz val="9"/>
            <color indexed="81"/>
            <rFont val="Tahoma"/>
            <family val="2"/>
          </rPr>
          <t>DO NOT MAKE ANY CHANGES</t>
        </r>
      </text>
    </comment>
    <comment ref="F15" authorId="0">
      <text>
        <r>
          <rPr>
            <b/>
            <sz val="9"/>
            <color indexed="81"/>
            <rFont val="Tahoma"/>
            <family val="2"/>
          </rPr>
          <t>DO NOT MAKE ANY CHANGES</t>
        </r>
      </text>
    </comment>
    <comment ref="G15" authorId="0">
      <text>
        <r>
          <rPr>
            <b/>
            <sz val="9"/>
            <color indexed="81"/>
            <rFont val="Tahoma"/>
            <family val="2"/>
          </rPr>
          <t>DO NOT MAKE ANY CHANGES</t>
        </r>
      </text>
    </comment>
    <comment ref="H15" authorId="0">
      <text>
        <r>
          <rPr>
            <b/>
            <sz val="9"/>
            <color indexed="81"/>
            <rFont val="Tahoma"/>
            <family val="2"/>
          </rPr>
          <t>DO NOT MAKE ANY CHANGES</t>
        </r>
      </text>
    </comment>
    <comment ref="F16" authorId="0">
      <text>
        <r>
          <rPr>
            <b/>
            <sz val="9"/>
            <color indexed="81"/>
            <rFont val="Tahoma"/>
            <family val="2"/>
          </rPr>
          <t>DO NOT MAKE ANY CHANGES</t>
        </r>
      </text>
    </comment>
    <comment ref="G16" authorId="0">
      <text>
        <r>
          <rPr>
            <b/>
            <sz val="9"/>
            <color indexed="81"/>
            <rFont val="Tahoma"/>
            <family val="2"/>
          </rPr>
          <t>DO NOT MAKE ANY CHANGES</t>
        </r>
      </text>
    </comment>
    <comment ref="H16" authorId="0">
      <text>
        <r>
          <rPr>
            <b/>
            <sz val="9"/>
            <color indexed="81"/>
            <rFont val="Tahoma"/>
            <family val="2"/>
          </rPr>
          <t>DO NOT MAKE ANY CHANGES</t>
        </r>
      </text>
    </comment>
  </commentList>
</comments>
</file>

<file path=xl/sharedStrings.xml><?xml version="1.0" encoding="utf-8"?>
<sst xmlns="http://schemas.openxmlformats.org/spreadsheetml/2006/main" count="330" uniqueCount="309">
  <si>
    <t>DESCRIPTION OF GOODS</t>
  </si>
  <si>
    <t>HSN/SAC CODE</t>
  </si>
  <si>
    <t>RATE</t>
  </si>
  <si>
    <t>AMOUNT</t>
  </si>
  <si>
    <t>Transport &amp; Forwarding</t>
  </si>
  <si>
    <t>Total</t>
  </si>
  <si>
    <t>CONTACT NUMBER</t>
  </si>
  <si>
    <t>GST NO</t>
  </si>
  <si>
    <t>Address</t>
  </si>
  <si>
    <t>Name</t>
  </si>
  <si>
    <t>S.NO</t>
  </si>
  <si>
    <t>PRODUCT</t>
  </si>
  <si>
    <t>HSNCODE</t>
  </si>
  <si>
    <t>QTY</t>
  </si>
  <si>
    <t xml:space="preserve">IGST      </t>
  </si>
  <si>
    <t xml:space="preserve">CGST </t>
  </si>
  <si>
    <t xml:space="preserve">SGST </t>
  </si>
  <si>
    <t xml:space="preserve">Grand Total :    </t>
  </si>
  <si>
    <t>Authorised Signatory</t>
  </si>
  <si>
    <t>Buyer:</t>
  </si>
  <si>
    <t xml:space="preserve">Rounded off :    </t>
  </si>
  <si>
    <t>TERMS AND CONDITIONS</t>
  </si>
  <si>
    <t xml:space="preserve"> BANK DETAILS                                                      </t>
  </si>
  <si>
    <t xml:space="preserve"> TAX INVOICE</t>
  </si>
  <si>
    <t>lookup.No</t>
  </si>
  <si>
    <t>INSTRUCTIONS</t>
  </si>
  <si>
    <t>FEATURES</t>
  </si>
  <si>
    <t>DEVELOPER</t>
  </si>
  <si>
    <t xml:space="preserve">
  NOTE:     1. Do not try to share the file  to third party.
                  2. For  similar products contact developer 
</t>
  </si>
  <si>
    <r>
      <t xml:space="preserve"> CONTACT    :  </t>
    </r>
    <r>
      <rPr>
        <sz val="12"/>
        <color theme="1"/>
        <rFont val="Calibri"/>
        <family val="2"/>
        <scheme val="minor"/>
      </rPr>
      <t>7010210020 ,  9551783347</t>
    </r>
    <r>
      <rPr>
        <b/>
        <sz val="12"/>
        <color theme="1"/>
        <rFont val="Calibri"/>
        <family val="2"/>
        <scheme val="minor"/>
      </rPr>
      <t xml:space="preserve"> 
 EMAIL         :  </t>
    </r>
    <r>
      <rPr>
        <sz val="12"/>
        <color theme="1"/>
        <rFont val="Calibri"/>
        <family val="2"/>
        <scheme val="minor"/>
      </rPr>
      <t xml:space="preserve"> logic_instruments@yahoo.in 
                         s.logeshkarthik@gmail.com </t>
    </r>
    <r>
      <rPr>
        <b/>
        <sz val="12"/>
        <color theme="1"/>
        <rFont val="Calibri"/>
        <family val="2"/>
        <scheme val="minor"/>
      </rPr>
      <t xml:space="preserve">
</t>
    </r>
  </si>
  <si>
    <t xml:space="preserve">1. Each invoice after exporting records the sales information in the sales report sheet .
2. Automatic information filling and calculations are done.
3. PDF conversion is done with  a single button tap.
4. PDF copies  of your bill is stored in the location : local disk C -&gt; invoice bill .
5. Customers  and products  information are maintained in separate sheets.
</t>
  </si>
  <si>
    <t xml:space="preserve"> 1.Payment cash on delivery/documents through bank</t>
  </si>
  <si>
    <t xml:space="preserve"> 2.Goods once sold cannot be taken back on any A/C</t>
  </si>
  <si>
    <t xml:space="preserve"> 3.Interest will be charged at 18% P.A. on unpaid bills      E.&amp;O.E.</t>
  </si>
  <si>
    <t>CUSTOMER</t>
  </si>
  <si>
    <t>INVOICE</t>
  </si>
  <si>
    <t>DATE</t>
  </si>
  <si>
    <t>TOTAL</t>
  </si>
  <si>
    <t>TAP HERE TO KNOW HOW TO USE</t>
  </si>
  <si>
    <r>
      <rPr>
        <b/>
        <sz val="12"/>
        <color theme="1"/>
        <rFont val="Calibri"/>
        <family val="2"/>
        <scheme val="minor"/>
      </rPr>
      <t xml:space="preserve"> Invoice No </t>
    </r>
    <r>
      <rPr>
        <sz val="12"/>
        <color theme="1"/>
        <rFont val="Calibri"/>
        <family val="2"/>
        <scheme val="minor"/>
      </rPr>
      <t xml:space="preserve">        :</t>
    </r>
  </si>
  <si>
    <t xml:space="preserve"> Invoice Date      :</t>
  </si>
  <si>
    <t xml:space="preserve"> P. Order No       :   </t>
  </si>
  <si>
    <t xml:space="preserve"> P. Order Date   : </t>
  </si>
  <si>
    <t xml:space="preserve"> D.C No               :</t>
  </si>
  <si>
    <t xml:space="preserve">1. Create a folder named newtech in the  local disk C with the path (C:\newtech\).
2. Fill the customers  sheet with your customer’s information  and products sheet with your product details.
3. After pressing CLEAR DATA button the bill is cleared and invoice number is incremented.
4. Press ADD TO REPORT button to save your bill details for further reference.  
5. Fill the necessary fields ,Enter the quantity and then press enter to automatically calculate the rate, Enter the transport and forwarding  and IGST if needed.
6.  Check the  invoice and press the SAVE FILE IN EXCEL  button .( the newly saved billl can be editted in future )
7.  The saved file can be viewed in local disc(C:)-&gt;newtech.
</t>
  </si>
  <si>
    <t xml:space="preserve"> A/C No.  : 61143070005950</t>
  </si>
  <si>
    <t xml:space="preserve"> Bank       : Syndicate Bank</t>
  </si>
  <si>
    <r>
      <rPr>
        <b/>
        <sz val="11"/>
        <rFont val="Calibri"/>
        <family val="2"/>
        <scheme val="minor"/>
      </rPr>
      <t xml:space="preserve"> Branch   : Perungudi</t>
    </r>
    <r>
      <rPr>
        <b/>
        <sz val="11"/>
        <color rgb="FFFF0000"/>
        <rFont val="Calibri"/>
        <family val="2"/>
        <scheme val="minor"/>
      </rPr>
      <t xml:space="preserve">   </t>
    </r>
  </si>
  <si>
    <r>
      <rPr>
        <b/>
        <sz val="11"/>
        <rFont val="Calibri"/>
        <family val="2"/>
        <scheme val="minor"/>
      </rPr>
      <t xml:space="preserve"> IFSC</t>
    </r>
    <r>
      <rPr>
        <b/>
        <sz val="11"/>
        <color rgb="FFFF0000"/>
        <rFont val="Calibri"/>
        <family val="2"/>
        <scheme val="minor"/>
      </rPr>
      <t xml:space="preserve">        </t>
    </r>
    <r>
      <rPr>
        <b/>
        <sz val="11"/>
        <rFont val="Calibri"/>
        <family val="2"/>
        <scheme val="minor"/>
      </rPr>
      <t>: SYNB0006114</t>
    </r>
    <r>
      <rPr>
        <b/>
        <sz val="11"/>
        <color rgb="FFFF0000"/>
        <rFont val="Calibri"/>
        <family val="2"/>
        <scheme val="minor"/>
      </rPr>
      <t xml:space="preserve">                              </t>
    </r>
    <r>
      <rPr>
        <b/>
        <sz val="11"/>
        <rFont val="Calibri"/>
        <family val="2"/>
        <scheme val="minor"/>
      </rPr>
      <t xml:space="preserve"> Customer's Seal and Signature</t>
    </r>
  </si>
  <si>
    <t>For NEWTECH INSTRUMENTS</t>
  </si>
  <si>
    <t>EMPTY THE INVOICE BILL</t>
  </si>
  <si>
    <t>ADD TO REPORT BEFORE SAVING TO EXCEL</t>
  </si>
  <si>
    <r>
      <rPr>
        <sz val="26"/>
        <rFont val="Cambria"/>
        <family val="1"/>
      </rPr>
      <t>N</t>
    </r>
    <r>
      <rPr>
        <sz val="24"/>
        <rFont val="Cambria"/>
        <family val="1"/>
      </rPr>
      <t>EWTECH</t>
    </r>
    <r>
      <rPr>
        <sz val="22"/>
        <rFont val="Cambria"/>
        <family val="1"/>
      </rPr>
      <t xml:space="preserve"> </t>
    </r>
    <r>
      <rPr>
        <sz val="26"/>
        <rFont val="Cambria"/>
        <family val="1"/>
      </rPr>
      <t>I</t>
    </r>
    <r>
      <rPr>
        <sz val="22"/>
        <rFont val="Cambria"/>
        <family val="1"/>
      </rPr>
      <t>NSTRUMENTS</t>
    </r>
  </si>
  <si>
    <t xml:space="preserve"> No.154, 1st Floor, 3rd Cross Street, 9th Link Road,</t>
  </si>
  <si>
    <t xml:space="preserve"> Nehru Nagar, Kottivakkam,Chennai- 600 041.</t>
  </si>
  <si>
    <t xml:space="preserve"> Email: newtechinstrument@yahoo.com</t>
  </si>
  <si>
    <t xml:space="preserve"> Cell: 90801 88877, 99520 50627</t>
  </si>
  <si>
    <t xml:space="preserve"> GST NO : 33AVQPB9579A1ZG</t>
  </si>
  <si>
    <t>LOCATION:                                                       Local Disk (D:)-&gt; NEWTECH GST</t>
  </si>
  <si>
    <t xml:space="preserve">LOOK FOR  INVOICE  PDF FILES IN      Local Disk (D:) -&gt; NEWTECH GST PDF  </t>
  </si>
  <si>
    <t>AARTHI INDUSTRIES</t>
  </si>
  <si>
    <t>33AIKPB5689E1Z9</t>
  </si>
  <si>
    <t>33AABCA9521E1Z4</t>
  </si>
  <si>
    <t xml:space="preserve">APEX SERVICE AND INSTRUMENTS </t>
  </si>
  <si>
    <t>33AVBPV1367M1Z8</t>
  </si>
  <si>
    <t>AUROFOOD PRIVATE LIMITED</t>
  </si>
  <si>
    <t>33AAACA5360Q1ZJ</t>
  </si>
  <si>
    <t>33AAJCA1954D1Z1</t>
  </si>
  <si>
    <t>AEROSPACE  ENGINEERS PVT LTD.</t>
  </si>
  <si>
    <t>33AAOCA3568N1Z5</t>
  </si>
  <si>
    <t>ARTURA PHARMACEUTICALS PVT LIMITED</t>
  </si>
  <si>
    <t>37AAICA2211L1ZT</t>
  </si>
  <si>
    <t>AXON DRUGS PRIVATE LIMITED</t>
  </si>
  <si>
    <t>33AAACA3195K1ZQ</t>
  </si>
  <si>
    <t>33AABCC1999C1ZW</t>
  </si>
  <si>
    <t>CATAPHORETIC TECHNOLOGIES</t>
  </si>
  <si>
    <t xml:space="preserve">33ACAPS2623M12M    </t>
  </si>
  <si>
    <t>33AAGCC8380A3ZW</t>
  </si>
  <si>
    <t>DIAMOND CASTINGS (P) LTD.</t>
  </si>
  <si>
    <t>33AAACD1226A1ZO</t>
  </si>
  <si>
    <t>ESAB INDIA LIMITED - EQUIPMENT DIV</t>
  </si>
  <si>
    <t>33AAACE0861G1Z4</t>
  </si>
  <si>
    <t>Five star Microbase Coating (India) Pvt Ltd</t>
  </si>
  <si>
    <t>33AAACF1733C1ZE</t>
  </si>
  <si>
    <t>HINDUSTAN COLAS PRIVATE LIMITED</t>
  </si>
  <si>
    <t xml:space="preserve"> 33AAACH1172P1ZK</t>
  </si>
  <si>
    <t>33AAATI1545E1Z6</t>
  </si>
  <si>
    <t>INDIAN INSTITUETE OF PACKAGING</t>
  </si>
  <si>
    <t>JPS TECHNOLOGIES</t>
  </si>
  <si>
    <t>33AMSPJ2943D1Z4</t>
  </si>
  <si>
    <t>33AABCK4882E1ZO</t>
  </si>
  <si>
    <t>K.V. MARINE EXPORTS.</t>
  </si>
  <si>
    <t>33AADPV1948D1ZT</t>
  </si>
  <si>
    <t xml:space="preserve">KRISHNA SCIENTIFIC SUPPLIERS </t>
  </si>
  <si>
    <t>33AGZPK9713F1ZZ</t>
  </si>
  <si>
    <t>KUTTY ELECTRICALS</t>
  </si>
  <si>
    <t>33AAHPA5537B1ZD</t>
  </si>
  <si>
    <t>M.S.S. SILKS &amp; HEATERS</t>
  </si>
  <si>
    <t xml:space="preserve">33BREPS1899B1ZP </t>
  </si>
  <si>
    <t>33AACCM3729R2Z1</t>
  </si>
  <si>
    <t>MONORCH SCIENTIFIC WORKS</t>
  </si>
  <si>
    <t>33AAEPA4881H1ZZ</t>
  </si>
  <si>
    <t>33AAEFP175H1ZC</t>
  </si>
  <si>
    <t>PUNCH RATNA FASTENERS PVT LTD, Unit - II</t>
  </si>
  <si>
    <t>33AAACP1316M1ZO</t>
  </si>
  <si>
    <t>33AAHCS8165J1ZZ</t>
  </si>
  <si>
    <t>SRI BALAJI ASSEMBLIES &amp; PLASTICS PVT LTD - Unit IV</t>
  </si>
  <si>
    <t>SEVEN SEAS SEA FOODS PRIVATE LIMITED</t>
  </si>
  <si>
    <t>33AAJCS9936P1ZG</t>
  </si>
  <si>
    <t>33AAICS1738E1ZK</t>
  </si>
  <si>
    <t>SAI ENTERPRISES.</t>
  </si>
  <si>
    <t>33ABSPV5243M1ZX</t>
  </si>
  <si>
    <t>SRINIVASA SPECIAL EQIPMENT ENGINEERS</t>
  </si>
  <si>
    <t>33AAKFS0996H1ZW</t>
  </si>
  <si>
    <t>SHARP ELECTRONICS</t>
  </si>
  <si>
    <t>AA330417051247D</t>
  </si>
  <si>
    <t>33AAPCS9197N1Z9</t>
  </si>
  <si>
    <t>SHREE BALAJI POLYMER &amp; ALLIED PRODUCTS</t>
  </si>
  <si>
    <t>33ABLP2625C1Z3</t>
  </si>
  <si>
    <t>SEA KINGS.</t>
  </si>
  <si>
    <t>33AAKFV4690D1Z2</t>
  </si>
  <si>
    <t>STEAMTECH PRODUCTS</t>
  </si>
  <si>
    <t>33AAVPY5038M1ZS</t>
  </si>
  <si>
    <t>RAM ELECTRICALS</t>
  </si>
  <si>
    <t>33AAAFR3207N1ZC</t>
  </si>
  <si>
    <t>THE CHENNAI SILKS - Tnv</t>
  </si>
  <si>
    <t>33AABCK7104P1ZG</t>
  </si>
  <si>
    <t>THE SALEM AEROPARK</t>
  </si>
  <si>
    <t>TREND ASSEMBLIES.</t>
  </si>
  <si>
    <t>33AWUPR9519F1ZW</t>
  </si>
  <si>
    <t>TRIGUNI FOOD PVT LTD.</t>
  </si>
  <si>
    <t>33AADCT3106G1ZU</t>
  </si>
  <si>
    <t>33AAACT7987L1ZP</t>
  </si>
  <si>
    <t>TATA INTERNATIONAL LTD.</t>
  </si>
  <si>
    <t>33AAACT3198F1ZF</t>
  </si>
  <si>
    <t>THE KTM JEWELLERY LIMITED</t>
  </si>
  <si>
    <t>33AADVF8890Q1Z8</t>
  </si>
  <si>
    <t>33AAACV2183J1ZD</t>
  </si>
  <si>
    <t>No.42, T.T.S. Nagar, Thiruverkadu,                       Chennai – 600 077.</t>
  </si>
  <si>
    <t>SERVEY NO:71/5A ,NAVALUR MAIN ROAD,VELLERITHANGAL VILLAGE,NEAR HIET COLLEGE,                                                                                                                         PADAPPAI- 601 301.</t>
  </si>
  <si>
    <t>68/1, Jeeva Jothi Salai,Thanigai Nagar,Vadaperumbakkam,                                                                                   Chennai – 600 060</t>
  </si>
  <si>
    <t>14 KM (Milestone),                                                              Pondicherry - Tindivanam Highway,                                                             Pondicherry - 605 111.</t>
  </si>
  <si>
    <t>8/63, NH-7, Ammapalayam Village, Mallur,                                              Salem – 636 203.</t>
  </si>
  <si>
    <t>Plot No. 1500, Road R6 West, Sri City  SEZ,Satyavedu Manda, Chittoor District,                                  Andra Pradesh, - 517 588.</t>
  </si>
  <si>
    <t>148/12B, Chennai – Bangalore Highway,Chembarambakkam,                                             Chennai - 602 103.</t>
  </si>
  <si>
    <t>Sidco Industrial Estate,                                                                                        Chennai 600 058.</t>
  </si>
  <si>
    <t>No. 105-A, P.V. Vaidyalingam Road,Old Pallavaram,                                                                      Chennai- 600 117</t>
  </si>
  <si>
    <t>No : 196, MTC Nagar, 4th Main Road,                           MTC Nagar,                                                                         Marai Malai Nagar- 603 209.</t>
  </si>
  <si>
    <t>104, Sidco Industrial Estate,                                                                              Chennai – 600 098</t>
  </si>
  <si>
    <t>CALVALUE TECHNO SERVICES (OPC) Pvt LTD.</t>
  </si>
  <si>
    <t>Kundrathur Road, Near Vazanthalabedu Bridge,Thirumudivakkam,                                            Chennai- 600 044</t>
  </si>
  <si>
    <t>A 9, Sipcot Industrial Park, Irungattukottai,                                                Kancheepuram - 602 117</t>
  </si>
  <si>
    <t>Sholavaram,                                                                                                             Chennai – 600 067.</t>
  </si>
  <si>
    <t>1/30, Padur Village,                                                                                              Chennai - 603 103.</t>
  </si>
  <si>
    <t>No : 17/1, Salai Vinayagar Koil IInd Lane,                                                     Chennai - 603 001.</t>
  </si>
  <si>
    <t>No. 7/147, Anna Nagar, Panjukalipatti,Panankattur(Po), Omalur (Tk),                                                   Salem – 636 455</t>
  </si>
  <si>
    <t>347, MRH Road, Ommakulamedu,                                                                   Chennai – 600 060.</t>
  </si>
  <si>
    <t>12, Sidco Industrial Estate,Thirumazhisai,                                                    Chennai - 600 124.</t>
  </si>
  <si>
    <t>35, Sidco Industrial Estate,                                                                                 Chennai – 600 124</t>
  </si>
  <si>
    <t>SRI BALAJI ASSEMBLIES &amp; PLASTICS PVT LTD - Unit-II</t>
  </si>
  <si>
    <t>No.14, PARK STREET,Kilpauk Garden Colony, Kilpauk,                                                              Chennai – 600 010.</t>
  </si>
  <si>
    <t>115 ( 30/B) Lake View Road, Kottur,                                                                Chennai – 600 085</t>
  </si>
  <si>
    <t>1, Pammal Main Road,Pammal,                                                   Chennai – 600 075.</t>
  </si>
  <si>
    <t>90, Kanigaipair Village,                                                               Periyapalayam main road,                      Thiruvallur dist – 601 102.</t>
  </si>
  <si>
    <t>9, St. Thomas Street, Santhosh Nagar,                                                          Chennai – 600 096.</t>
  </si>
  <si>
    <t>No : 17/1, Salai Vinayagar Koil IInd Lane,                                                     Chennai - 603 001</t>
  </si>
  <si>
    <t>177A-2, Vannarpet,                                                                                               Tirunelveli.</t>
  </si>
  <si>
    <t>8/63, NH-7, Ammapalayam Village, Mallur,                                                 Salem – 636 203.</t>
  </si>
  <si>
    <t>108, Kurunji Nagar, 3 rd Part,Agaramthen,                                                    Chennai – 600 126.</t>
  </si>
  <si>
    <t>65, Permal Agaram Salai,Thiruverkadu,                                                        Chennai – 600 077.</t>
  </si>
  <si>
    <t>No.58&amp;59, Pudhupair Village,Katarambakkam,                           Panchayat, Nandambakkam,                           Chennai – 600 069.</t>
  </si>
  <si>
    <t>C-38 Industrial Estate, Guindy,                                                    Chennai - 600 032.</t>
  </si>
  <si>
    <t>64, Sidco Industrial Estate,Thirumazhisai,                                                   Chennai - 600 124.</t>
  </si>
  <si>
    <t>VASAVIBALA RESINS (P) LTD.</t>
  </si>
  <si>
    <t>VISHAL SLEIVES INC.</t>
  </si>
  <si>
    <t>TABLETS INDIA PVT LTD.</t>
  </si>
  <si>
    <t>St. PETER &amp; PAUL SEA FOOD EXPOERS (P) LTD.</t>
  </si>
  <si>
    <t>SUNSHINE BAKERY FOODS PVT LTD.</t>
  </si>
  <si>
    <t>SRI BALAJI ASSEMBLIES &amp; PLASTICS PVT LTD.</t>
  </si>
  <si>
    <t>MODERN BAKERS MADRAS PVT. LTD.</t>
  </si>
  <si>
    <t>KIRAN GLOBAL CHEM LTD.</t>
  </si>
  <si>
    <t>AUSTRALIAN FOODS INDIA LTD.</t>
  </si>
  <si>
    <t>ARO-SAK PLASTICS &amp; ASSEMBLIES Pvt LTD.</t>
  </si>
  <si>
    <t>ALKEM LABORATORIES LTD.</t>
  </si>
  <si>
    <t>17/1. Ettiamman Nagar main road, Ettiamman Nagar, Thirumullai voyal,                                                                    Chennai - 600 062.</t>
  </si>
  <si>
    <t>7/155 A, I Floor, Thandalam Road, Kovur,                                                                                      Chennai - 600 122</t>
  </si>
  <si>
    <t xml:space="preserve">No. 169, Industrial Estate,Perungudi,                                                            Chennai - 600 096.          </t>
  </si>
  <si>
    <t xml:space="preserve">C-6, Vathiyar Govindaraj Street,                                   Off – National Matric School,                                                               Arcot - 632 503 </t>
  </si>
  <si>
    <t>61, Kamatchi Nagar,Madhanandapuram, Porur,                                       Chennai - 600 116.</t>
  </si>
  <si>
    <t>PLOT 834, Sipcot Industrial Park,                                                                     Kanchipuram - 602 105 .</t>
  </si>
  <si>
    <t>176, Vengaivasal Main Road,Gowriwakkam,                                               Chennai - 600 073.</t>
  </si>
  <si>
    <t>AC, 19 Sidco Industrial Estate,                                                                           Chennai - 600 044.</t>
  </si>
  <si>
    <t>44 B, Sidco Industrial Estate,Thirumudivakkam,                                        Chennai - 600 132</t>
  </si>
  <si>
    <t>333/1, Batlangundu main road,Nilakottai,                                                   Dindugul - 624 208.</t>
  </si>
  <si>
    <t>48, Yerikadu, Opp – Ram Complex ,                                                               Near New Bus Stand,                                                      Salem - 636 004.</t>
  </si>
  <si>
    <t>38, Madhavaram High Road, Moolakkadai,                                                 Chennai - 600 060.</t>
  </si>
  <si>
    <t>T. H. Road,                                                                                                                 Chennai - 600 081.</t>
  </si>
  <si>
    <t>261 V.E. Road,                                                                                                          Tuticorin - 002.</t>
  </si>
  <si>
    <t>Digital Temp.  Controller - 96X96 mm, 400° C, Type – K</t>
  </si>
  <si>
    <t xml:space="preserve">Digital Temp.  Controller - 96X96 mm, 400° C , Type – RTD </t>
  </si>
  <si>
    <t xml:space="preserve">Digital Temp.  Controller - 72X72 mm, 400° C , Type – J </t>
  </si>
  <si>
    <t xml:space="preserve">Temp. Indicator - 96X96 mm,  400° C , Type – J  </t>
  </si>
  <si>
    <t xml:space="preserve">Digital Temp.  Controller - 96X96 mm, 400° C, Type – J    </t>
  </si>
  <si>
    <t xml:space="preserve">Digital Temp.  Controller - 72X72 mm, 400° C , Type – K  </t>
  </si>
  <si>
    <t>Digital Temp.  Controller -  72X72 mm, 400° C , Type – RTD</t>
  </si>
  <si>
    <t xml:space="preserve">Universal Temperature  Controller - 96X96 mm, 1200° C , Type – J&amp;K </t>
  </si>
  <si>
    <t xml:space="preserve">Universal Temperature  Controller - 96X96 mm,  400° C , Type  – RTD  </t>
  </si>
  <si>
    <t xml:space="preserve">Universal Temperature  Controller - 72X72 mm, 1200° C , Type – J&amp;K </t>
  </si>
  <si>
    <t xml:space="preserve">Universal Temperature  Controller - 72X72 mm,  400° C , Type – RTD  </t>
  </si>
  <si>
    <t xml:space="preserve">Universal Temperature  Controller - 96X96 mm, 1200° C , Type – J&amp;K,RTD   </t>
  </si>
  <si>
    <t xml:space="preserve">Universal Temperature  Controller – 72X72 mm, 1200° C , Type – J&amp;K,RTD   </t>
  </si>
  <si>
    <t xml:space="preserve">Temp, Indicator - 96X96 mm, 1000° C ,Type – K </t>
  </si>
  <si>
    <t xml:space="preserve">Temp. Indicator - 96X96 mm, 300° C , Type – RTD </t>
  </si>
  <si>
    <t xml:space="preserve">Temp. Indicator - 72X72 mm,400° C , Type – J   </t>
  </si>
  <si>
    <t xml:space="preserve">Temp. Indicator - 72X72 mm, 1000° C , Type – K  </t>
  </si>
  <si>
    <t xml:space="preserve">Temp. Indicator - 72X72 mm, 300° C , Type – RTD </t>
  </si>
  <si>
    <t xml:space="preserve">Temp.  Indicator - 96X48 mm,-50 to 50° C , Type – RTD </t>
  </si>
  <si>
    <t xml:space="preserve">4 Point Temp. Indicator - 96X96 mm, 200° C , Type – J   </t>
  </si>
  <si>
    <t xml:space="preserve">6 Point Temp. Indicator - 96X96 mm, 200° C , Type – J  </t>
  </si>
  <si>
    <t xml:space="preserve">12 Point Temp. Indicator - 192X96 mm, 200° C , Type – J   </t>
  </si>
  <si>
    <t xml:space="preserve">4 Point Temp. Indicator - 96X96 mm, 200° C , Type – K   </t>
  </si>
  <si>
    <t xml:space="preserve">6 Point Temp. Indicator - 96X96 mm, 200° C , Type – K   </t>
  </si>
  <si>
    <t xml:space="preserve">12 Point Temp. Indicator - 192X96 mm, 200° C , Type – K   </t>
  </si>
  <si>
    <t xml:space="preserve">4 Point Temp. Indicator - 96X96 mm, 200° C , Type – RTD </t>
  </si>
  <si>
    <t xml:space="preserve">6 Point Temp. Indicator - 96X96 mm, 200° C , Type – RTD  </t>
  </si>
  <si>
    <t xml:space="preserve">12 Point Temp. Indicator - 192X96 mm, 200° C , Type – RTD  </t>
  </si>
  <si>
    <t xml:space="preserve">Digital Electronic Timer - 96X96 mm, 0 to 999 Sec. O/P - Relay  </t>
  </si>
  <si>
    <t xml:space="preserve">Digital Electronic Timer - 72X72 mm, 0 to 999 Sec. O/P - Relay </t>
  </si>
  <si>
    <t xml:space="preserve">Digital Cyclic Timer : 0 to 99 Sec. O/p - Relay, Size – 96X96 mm </t>
  </si>
  <si>
    <t>Soldering Tip Bath Size :</t>
  </si>
  <si>
    <t>Soldering Led Bath with control Panel : Size - 100X50X50 mm,220 V AC</t>
  </si>
  <si>
    <t xml:space="preserve">Digital Electronic Timer - 96X96 mm, 0 to 999 Sec.  O/P -12 V  </t>
  </si>
  <si>
    <t xml:space="preserve">Digital Electronic Timer - 72X72 mm, 0 to 999 Sec.  O/P -12 V    </t>
  </si>
  <si>
    <t>J - Type Thermocouple : 100X6mm, 2 Mtr (M)</t>
  </si>
  <si>
    <t>K -Type Thermocouple : 100X6mm, 2 Mtr (M)</t>
  </si>
  <si>
    <t>RTD - Sensor - Plain : 100X6 mm, 2 Mtr (M)</t>
  </si>
  <si>
    <t>J - Type T/C with Head : 100X6mm, ½” BSP</t>
  </si>
  <si>
    <t>K - Type T/C with Head : 100X6mm, ½” BSP</t>
  </si>
  <si>
    <t xml:space="preserve">K - Type MI T/C &amp; Connt: 1000X8mm, 2Mtr  </t>
  </si>
  <si>
    <t>Spring Adj. Thermocouple: J,12mm 2 Mtr.</t>
  </si>
  <si>
    <t>RTD Sensor 3 wire (M) : 3”X6mm, 2 Mtr.</t>
  </si>
  <si>
    <t>RTD Sensor with Head : 100X6 mm, ½” BSP</t>
  </si>
  <si>
    <t>RTD 3 core Cable (Tef/Tef/SS)</t>
  </si>
  <si>
    <t>RTD 3 core Cable (Tef/Tef)</t>
  </si>
  <si>
    <t>K type Compon. Cable (3/24 – fig/fig/ss)</t>
  </si>
  <si>
    <t>K type Original Cable (1/24 - fig/fig/ss)</t>
  </si>
  <si>
    <t>K type Original Cable (1/24 – tef/tef)</t>
  </si>
  <si>
    <t>Service for Temperature Instruments</t>
  </si>
  <si>
    <t>Service for Digital Timer</t>
  </si>
  <si>
    <t xml:space="preserve">Calibration for Temp. Instruments </t>
  </si>
  <si>
    <t>Calibration for Digital Timer</t>
  </si>
  <si>
    <t>Calibration for Thermocouple</t>
  </si>
  <si>
    <t>Calibration for Temperature Gauges</t>
  </si>
  <si>
    <t xml:space="preserve">Calibration for Digital Verniar </t>
  </si>
  <si>
    <t xml:space="preserve">Calibration for infored Thermometer </t>
  </si>
  <si>
    <t>Calibration for Glass Thermometer</t>
  </si>
  <si>
    <t>Calibration for Digital Thermometer</t>
  </si>
  <si>
    <t>Calibration for Temp. Data Locker</t>
  </si>
  <si>
    <t xml:space="preserve">Calibration for Thermo Hygrometer </t>
  </si>
  <si>
    <t xml:space="preserve">Calibration for 9 point thermal Mapping </t>
  </si>
  <si>
    <t>Calibration for Pressure Gauges</t>
  </si>
  <si>
    <t>Calibration for Digital PH Meter</t>
  </si>
  <si>
    <t xml:space="preserve">Calibration for Digital Multimeter </t>
  </si>
  <si>
    <t>Calibration for Digital LCR Instruments</t>
  </si>
  <si>
    <t>Calibration for Insulation Tester</t>
  </si>
  <si>
    <t>Calibration for Digital Clamp Instruments</t>
  </si>
  <si>
    <t>Calibration for Digital Micro Ohm Meter</t>
  </si>
  <si>
    <t>Calibration for Gauss Meter</t>
  </si>
  <si>
    <t xml:space="preserve">Calibration for Wrist Strap &amp; Food wear </t>
  </si>
  <si>
    <t>Calibration for Surface Resistive Meter : SRM 001</t>
  </si>
  <si>
    <t>Calibration For Digital Oscilloscope: OSC 001</t>
  </si>
  <si>
    <t>Calibration for Ohms meter ( Trans Tester )</t>
  </si>
  <si>
    <t>Calibration for Ohms Indicator</t>
  </si>
  <si>
    <t>Calibration for DC Regulated Power Supply</t>
  </si>
  <si>
    <t>Calibration for HV Break Down Tester</t>
  </si>
  <si>
    <t>Calibration for DC Power Supply</t>
  </si>
  <si>
    <t>Calibration for AC Power Supply</t>
  </si>
  <si>
    <t>Calibration for Strip Dual Food wear Tester</t>
  </si>
  <si>
    <t>Calibration for Digital Electronic Balance</t>
  </si>
  <si>
    <t>Calibration for Milli Amp Meter – ACA 001</t>
  </si>
  <si>
    <t>Calibration for Analog AC Volt Met - ACV 001</t>
  </si>
  <si>
    <t>Calibration for DC  Volt Meter – DCV 001</t>
  </si>
  <si>
    <t>Calibration for DC  Variable SMBS – RPS 005</t>
  </si>
  <si>
    <t xml:space="preserve">Calibration for Micro pipette Range : 100 -1000 μl </t>
  </si>
  <si>
    <t xml:space="preserve">Calibration for Micro pipette Range : 20 -200 μl </t>
  </si>
  <si>
    <t>Calibration for Micro pipette(8 Channel) Range : 50 – 300 μl  8X750</t>
  </si>
  <si>
    <t xml:space="preserve">Calibration for Standard Weight Box 1 mg to 200 g </t>
  </si>
  <si>
    <t xml:space="preserve">Calibration for Measuring cylinder 100 ml  </t>
  </si>
  <si>
    <t xml:space="preserve">Calibration for Center fugue ( RPM &amp; Timer )  </t>
  </si>
  <si>
    <t>Calibration for Digital Milli Ohm Meter - MOM 011</t>
  </si>
  <si>
    <t>18/5/2020</t>
  </si>
  <si>
    <t xml:space="preserve">Service for Colony Counter </t>
  </si>
  <si>
    <t>Calibration for Micro Meter</t>
  </si>
  <si>
    <t xml:space="preserve">Calibration for Mechanical Counter </t>
  </si>
  <si>
    <t>Calibration for moiture balance Tempe. Controller with sensor</t>
  </si>
  <si>
    <t>RTD Sensor with Head : High Temp. Ceramic type : 800X8 mm, ½” BSP</t>
  </si>
  <si>
    <t>Autonics Digital Panel Meter : 96X48 mm, 4 digits, Output - Relay</t>
  </si>
  <si>
    <t>28/5/2020</t>
  </si>
  <si>
    <t>08/032020</t>
  </si>
  <si>
    <t>INVOICE NO</t>
  </si>
  <si>
    <t>GST</t>
  </si>
  <si>
    <t>AMOUNT WITHOUT GST</t>
  </si>
  <si>
    <t>CGST-9%</t>
  </si>
  <si>
    <t>SGST-9%</t>
  </si>
  <si>
    <t>IGST-18%</t>
  </si>
  <si>
    <t>G22, SIPCOT INDUSTRIAL PARK, IRUNGATTUKOTTAI SRIPERUMBUDUR,KANCHIPURAM,                                  Tamil nadu – 602 117</t>
  </si>
  <si>
    <r>
      <t xml:space="preserve">PROMPTEKK METAL ALLOYS &amp; REFIN. </t>
    </r>
    <r>
      <rPr>
        <sz val="14"/>
        <color theme="1"/>
        <rFont val="Calibri"/>
        <family val="2"/>
        <scheme val="minor"/>
      </rPr>
      <t>CORPN.</t>
    </r>
  </si>
  <si>
    <t>P.Gst No:   33AAOCA3568N1Z5</t>
  </si>
  <si>
    <t>P.Gst No:   33AAACA5360Q1ZJ</t>
  </si>
</sst>
</file>

<file path=xl/styles.xml><?xml version="1.0" encoding="utf-8"?>
<styleSheet xmlns="http://schemas.openxmlformats.org/spreadsheetml/2006/main">
  <numFmts count="1">
    <numFmt numFmtId="164" formatCode="mm/dd/yyyy;@"/>
  </numFmts>
  <fonts count="36">
    <font>
      <sz val="11"/>
      <color theme="1"/>
      <name val="Calibri"/>
      <family val="2"/>
      <scheme val="minor"/>
    </font>
    <font>
      <sz val="11"/>
      <color rgb="FFFF000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sz val="8"/>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sz val="11"/>
      <name val="Calibri"/>
      <family val="2"/>
      <scheme val="minor"/>
    </font>
    <font>
      <b/>
      <sz val="11"/>
      <color rgb="FFFF0000"/>
      <name val="Calibri"/>
      <family val="2"/>
      <scheme val="minor"/>
    </font>
    <font>
      <sz val="11"/>
      <color rgb="FFFF0000"/>
      <name val="Calibri"/>
      <family val="2"/>
    </font>
    <font>
      <sz val="12"/>
      <name val="Calibri"/>
      <family val="2"/>
      <scheme val="minor"/>
    </font>
    <font>
      <u/>
      <sz val="11"/>
      <color theme="10"/>
      <name val="Calibri"/>
      <family val="2"/>
    </font>
    <font>
      <sz val="14"/>
      <name val="Calibri"/>
      <family val="2"/>
      <scheme val="minor"/>
    </font>
    <font>
      <b/>
      <sz val="9"/>
      <color indexed="81"/>
      <name val="Tahoma"/>
      <family val="2"/>
    </font>
    <font>
      <b/>
      <sz val="20"/>
      <color theme="0"/>
      <name val="Calibri"/>
      <family val="2"/>
      <scheme val="minor"/>
    </font>
    <font>
      <b/>
      <sz val="20"/>
      <color theme="1"/>
      <name val="Calibri"/>
      <family val="2"/>
      <scheme val="minor"/>
    </font>
    <font>
      <b/>
      <sz val="18"/>
      <color theme="0"/>
      <name val="Calibri"/>
      <family val="2"/>
      <scheme val="minor"/>
    </font>
    <font>
      <b/>
      <sz val="18"/>
      <color theme="1"/>
      <name val="Calibri"/>
      <family val="2"/>
      <scheme val="minor"/>
    </font>
    <font>
      <b/>
      <u/>
      <sz val="18"/>
      <color rgb="FFFF0000"/>
      <name val="Calibri"/>
      <family val="2"/>
    </font>
    <font>
      <sz val="11"/>
      <color theme="0"/>
      <name val="Calibri"/>
      <family val="2"/>
      <scheme val="minor"/>
    </font>
    <font>
      <sz val="9"/>
      <color theme="1" tint="0.499984740745262"/>
      <name val="Calibri"/>
      <family val="2"/>
      <scheme val="minor"/>
    </font>
    <font>
      <sz val="11"/>
      <name val="Cambria"/>
      <family val="1"/>
    </font>
    <font>
      <sz val="22"/>
      <name val="Cambria"/>
      <family val="1"/>
    </font>
    <font>
      <sz val="12"/>
      <name val="Cambria"/>
      <family val="1"/>
    </font>
    <font>
      <sz val="12"/>
      <name val="Calibri"/>
      <family val="2"/>
    </font>
    <font>
      <sz val="26"/>
      <name val="Cambria"/>
      <family val="1"/>
    </font>
    <font>
      <sz val="24"/>
      <name val="Cambria"/>
      <family val="1"/>
    </font>
    <font>
      <sz val="10"/>
      <color theme="1"/>
      <name val="Calibri"/>
      <family val="2"/>
      <scheme val="minor"/>
    </font>
    <font>
      <sz val="14"/>
      <name val="Calibri"/>
      <scheme val="minor"/>
    </font>
    <font>
      <sz val="14"/>
      <color theme="1"/>
      <name val="Calibri"/>
      <scheme val="minor"/>
    </font>
    <font>
      <sz val="12"/>
      <color theme="1"/>
      <name val="Calibri"/>
      <scheme val="minor"/>
    </font>
    <font>
      <b/>
      <sz val="8"/>
      <color theme="1"/>
      <name val="Calibri"/>
      <family val="2"/>
      <scheme val="minor"/>
    </font>
    <font>
      <b/>
      <sz val="14"/>
      <color rgb="FF000000"/>
      <name val="Calibri"/>
      <family val="2"/>
      <scheme val="minor"/>
    </font>
    <font>
      <sz val="14"/>
      <color rgb="FF0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1"/>
        <bgColor indexed="64"/>
      </patternFill>
    </fill>
    <fill>
      <patternFill patternType="solid">
        <fgColor rgb="FFFFFF00"/>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1" tint="0.499984740745262"/>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5">
    <xf numFmtId="0" fontId="0" fillId="0" borderId="0" xfId="0"/>
    <xf numFmtId="0" fontId="6" fillId="0" borderId="0" xfId="0" applyFont="1" applyAlignment="1">
      <alignment horizontal="left" wrapText="1"/>
    </xf>
    <xf numFmtId="0" fontId="0" fillId="5" borderId="0" xfId="0" applyFill="1" applyAlignment="1"/>
    <xf numFmtId="0" fontId="4" fillId="4" borderId="0" xfId="0" applyFont="1" applyFill="1" applyAlignment="1">
      <alignment wrapText="1"/>
    </xf>
    <xf numFmtId="0" fontId="4" fillId="4" borderId="0" xfId="0" applyFont="1" applyFill="1" applyAlignment="1">
      <alignment vertical="center" wrapText="1"/>
    </xf>
    <xf numFmtId="0" fontId="3" fillId="0" borderId="0" xfId="0" applyFont="1" applyBorder="1" applyAlignment="1" applyProtection="1">
      <alignment horizontal="left" vertical="top" wrapText="1"/>
      <protection locked="0"/>
    </xf>
    <xf numFmtId="0" fontId="0" fillId="0" borderId="0" xfId="0" applyAlignment="1" applyProtection="1">
      <alignment wrapText="1"/>
    </xf>
    <xf numFmtId="0" fontId="0" fillId="3" borderId="0" xfId="0" applyFill="1" applyBorder="1" applyAlignment="1" applyProtection="1">
      <alignment wrapText="1"/>
    </xf>
    <xf numFmtId="0" fontId="0" fillId="3" borderId="0" xfId="0" applyFont="1" applyFill="1" applyBorder="1" applyAlignment="1" applyProtection="1">
      <alignment wrapText="1"/>
    </xf>
    <xf numFmtId="0" fontId="4" fillId="2" borderId="7" xfId="0" applyFont="1" applyFill="1" applyBorder="1" applyAlignment="1" applyProtection="1">
      <alignment vertical="center" wrapText="1"/>
      <protection locked="0"/>
    </xf>
    <xf numFmtId="0" fontId="4" fillId="2" borderId="8" xfId="0" quotePrefix="1" applyNumberFormat="1" applyFont="1" applyFill="1" applyBorder="1" applyAlignment="1" applyProtection="1">
      <alignment horizontal="left" vertical="center" wrapText="1"/>
      <protection locked="0"/>
    </xf>
    <xf numFmtId="14" fontId="3" fillId="2" borderId="7" xfId="0" applyNumberFormat="1" applyFont="1" applyFill="1" applyBorder="1" applyAlignment="1" applyProtection="1">
      <alignment horizontal="left" vertical="center" wrapText="1"/>
      <protection locked="0"/>
    </xf>
    <xf numFmtId="0" fontId="1" fillId="0" borderId="0" xfId="0" applyFont="1" applyAlignment="1" applyProtection="1">
      <alignment wrapText="1"/>
    </xf>
    <xf numFmtId="0" fontId="0" fillId="3" borderId="0" xfId="0" applyFill="1" applyBorder="1" applyAlignment="1" applyProtection="1">
      <alignment horizontal="center" vertical="center" wrapText="1"/>
    </xf>
    <xf numFmtId="0" fontId="0" fillId="0" borderId="0" xfId="0" applyAlignment="1" applyProtection="1">
      <alignment horizontal="center" vertical="center" wrapText="1"/>
    </xf>
    <xf numFmtId="2" fontId="0" fillId="3" borderId="0" xfId="0" applyNumberFormat="1" applyFill="1" applyBorder="1" applyAlignment="1" applyProtection="1">
      <alignment wrapText="1"/>
    </xf>
    <xf numFmtId="0" fontId="3" fillId="0" borderId="0" xfId="0" applyFont="1" applyAlignment="1" applyProtection="1">
      <alignment horizontal="center" vertical="center" wrapText="1"/>
      <protection locked="0"/>
    </xf>
    <xf numFmtId="0" fontId="3" fillId="0" borderId="0" xfId="0" applyFont="1" applyAlignment="1" applyProtection="1">
      <alignment wrapText="1"/>
    </xf>
    <xf numFmtId="2" fontId="3" fillId="3" borderId="0" xfId="0" applyNumberFormat="1" applyFont="1" applyFill="1" applyBorder="1" applyAlignment="1" applyProtection="1">
      <alignment wrapText="1"/>
    </xf>
    <xf numFmtId="0" fontId="5" fillId="4" borderId="3" xfId="0" applyFont="1" applyFill="1" applyBorder="1" applyAlignment="1" applyProtection="1">
      <alignment vertical="center" wrapText="1"/>
    </xf>
    <xf numFmtId="2" fontId="12" fillId="0" borderId="11" xfId="0" applyNumberFormat="1" applyFont="1" applyBorder="1" applyAlignment="1" applyProtection="1">
      <alignment horizontal="right" wrapText="1"/>
      <protection locked="0"/>
    </xf>
    <xf numFmtId="2" fontId="7" fillId="0" borderId="11" xfId="0" applyNumberFormat="1" applyFont="1" applyBorder="1" applyAlignment="1" applyProtection="1">
      <alignment horizontal="right" vertical="center" wrapText="1"/>
    </xf>
    <xf numFmtId="2" fontId="0" fillId="0" borderId="0" xfId="0" applyNumberFormat="1" applyAlignment="1" applyProtection="1">
      <alignment wrapText="1"/>
    </xf>
    <xf numFmtId="0" fontId="2" fillId="0" borderId="8" xfId="0" applyFont="1" applyBorder="1" applyAlignment="1" applyProtection="1">
      <alignment vertical="center" wrapText="1"/>
    </xf>
    <xf numFmtId="0" fontId="0" fillId="2" borderId="3" xfId="0" applyFill="1" applyBorder="1" applyAlignment="1" applyProtection="1">
      <alignment wrapText="1"/>
    </xf>
    <xf numFmtId="9" fontId="2" fillId="0" borderId="7" xfId="0" applyNumberFormat="1" applyFont="1" applyBorder="1" applyAlignment="1" applyProtection="1">
      <alignment vertical="center" wrapText="1"/>
      <protection locked="0"/>
    </xf>
    <xf numFmtId="0" fontId="2" fillId="2" borderId="4" xfId="0" applyFont="1" applyFill="1" applyBorder="1" applyAlignment="1" applyProtection="1">
      <alignment vertical="center" wrapText="1"/>
    </xf>
    <xf numFmtId="0" fontId="0" fillId="2" borderId="0" xfId="0" applyFill="1" applyBorder="1" applyAlignment="1" applyProtection="1">
      <alignment wrapText="1"/>
    </xf>
    <xf numFmtId="0" fontId="2" fillId="2" borderId="5" xfId="0" applyFont="1" applyFill="1" applyBorder="1" applyAlignment="1" applyProtection="1">
      <alignment horizontal="center" vertical="center" wrapText="1"/>
    </xf>
    <xf numFmtId="2" fontId="2" fillId="2" borderId="12" xfId="0" applyNumberFormat="1" applyFont="1" applyFill="1" applyBorder="1" applyAlignment="1" applyProtection="1">
      <alignment horizontal="right" vertical="center" wrapText="1"/>
    </xf>
    <xf numFmtId="0" fontId="1" fillId="3" borderId="2" xfId="0" applyFont="1" applyFill="1" applyBorder="1" applyAlignment="1" applyProtection="1">
      <alignment wrapText="1"/>
    </xf>
    <xf numFmtId="0" fontId="11" fillId="3" borderId="0" xfId="0" applyFont="1" applyFill="1" applyBorder="1" applyAlignment="1" applyProtection="1">
      <alignment wrapText="1"/>
    </xf>
    <xf numFmtId="0" fontId="0" fillId="3" borderId="4" xfId="0" applyFill="1" applyBorder="1" applyAlignment="1" applyProtection="1">
      <alignment wrapText="1"/>
    </xf>
    <xf numFmtId="0" fontId="0" fillId="3" borderId="5" xfId="0" applyFill="1" applyBorder="1" applyAlignment="1" applyProtection="1">
      <alignment wrapText="1"/>
    </xf>
    <xf numFmtId="0" fontId="1" fillId="3" borderId="0" xfId="0" applyFont="1" applyFill="1" applyBorder="1" applyAlignment="1" applyProtection="1">
      <alignment wrapText="1"/>
    </xf>
    <xf numFmtId="0" fontId="4" fillId="2" borderId="11"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wrapText="1"/>
    </xf>
    <xf numFmtId="0" fontId="3" fillId="0" borderId="13" xfId="0" applyFont="1" applyBorder="1" applyAlignment="1" applyProtection="1">
      <alignment horizontal="center" vertical="center" wrapText="1"/>
    </xf>
    <xf numFmtId="2" fontId="12" fillId="0" borderId="13" xfId="0" applyNumberFormat="1" applyFont="1" applyBorder="1" applyAlignment="1" applyProtection="1">
      <alignment horizontal="right" vertical="center" wrapText="1"/>
    </xf>
    <xf numFmtId="0" fontId="3" fillId="0" borderId="14" xfId="0" applyFont="1" applyBorder="1" applyAlignment="1" applyProtection="1">
      <alignment horizontal="center" vertical="center" wrapText="1"/>
    </xf>
    <xf numFmtId="0" fontId="0" fillId="2" borderId="6" xfId="0" applyFill="1" applyBorder="1" applyAlignment="1" applyProtection="1">
      <alignment horizontal="center" vertical="center" wrapText="1"/>
    </xf>
    <xf numFmtId="0" fontId="3" fillId="0" borderId="1" xfId="0" applyFont="1" applyBorder="1" applyAlignment="1" applyProtection="1">
      <alignment vertical="top" wrapText="1"/>
    </xf>
    <xf numFmtId="0" fontId="3" fillId="0" borderId="4" xfId="0" applyFont="1" applyBorder="1" applyAlignment="1" applyProtection="1">
      <alignment vertical="top" wrapText="1"/>
    </xf>
    <xf numFmtId="0" fontId="4" fillId="4" borderId="9" xfId="0" applyFont="1" applyFill="1" applyBorder="1" applyAlignment="1" applyProtection="1">
      <alignment horizontal="center" vertical="center" wrapText="1"/>
    </xf>
    <xf numFmtId="0" fontId="4" fillId="4" borderId="10" xfId="0" applyFont="1" applyFill="1" applyBorder="1" applyAlignment="1" applyProtection="1">
      <alignment horizontal="left" vertical="center" wrapText="1"/>
    </xf>
    <xf numFmtId="0" fontId="0" fillId="6" borderId="0" xfId="0" applyFill="1" applyAlignment="1" applyProtection="1">
      <alignment wrapText="1"/>
    </xf>
    <xf numFmtId="2" fontId="0" fillId="6" borderId="0" xfId="0" applyNumberFormat="1" applyFill="1" applyAlignment="1" applyProtection="1">
      <alignment wrapText="1"/>
    </xf>
    <xf numFmtId="0" fontId="23" fillId="0" borderId="4" xfId="0" applyFont="1" applyBorder="1" applyAlignment="1" applyProtection="1">
      <alignment wrapText="1"/>
    </xf>
    <xf numFmtId="0" fontId="25" fillId="0" borderId="5" xfId="0" applyFont="1" applyBorder="1" applyAlignment="1" applyProtection="1">
      <alignment horizontal="left" wrapText="1"/>
    </xf>
    <xf numFmtId="0" fontId="26" fillId="0" borderId="4" xfId="0" applyFont="1" applyBorder="1" applyAlignment="1" applyProtection="1">
      <alignment wrapText="1"/>
    </xf>
    <xf numFmtId="0" fontId="26" fillId="0" borderId="5" xfId="0" applyFont="1" applyBorder="1" applyAlignment="1" applyProtection="1">
      <alignment horizontal="left" wrapText="1"/>
    </xf>
    <xf numFmtId="0" fontId="0" fillId="5" borderId="0" xfId="0" applyFill="1" applyAlignment="1" applyProtection="1">
      <alignment wrapText="1"/>
    </xf>
    <xf numFmtId="0" fontId="0" fillId="5" borderId="0" xfId="0" applyFill="1" applyBorder="1" applyAlignment="1" applyProtection="1">
      <alignment wrapText="1"/>
    </xf>
    <xf numFmtId="0" fontId="26" fillId="0" borderId="9" xfId="0" applyFont="1" applyBorder="1" applyAlignment="1" applyProtection="1">
      <alignment wrapText="1"/>
    </xf>
    <xf numFmtId="0" fontId="26" fillId="0" borderId="10" xfId="0" applyFont="1" applyBorder="1" applyAlignment="1" applyProtection="1">
      <alignment wrapText="1"/>
    </xf>
    <xf numFmtId="0" fontId="26" fillId="0" borderId="5" xfId="0" applyFont="1" applyBorder="1" applyAlignment="1" applyProtection="1">
      <alignment wrapText="1"/>
    </xf>
    <xf numFmtId="0" fontId="0" fillId="9" borderId="0" xfId="0" applyFill="1" applyAlignment="1" applyProtection="1">
      <alignment wrapText="1"/>
    </xf>
    <xf numFmtId="0" fontId="0" fillId="9" borderId="0" xfId="0" applyFill="1" applyAlignment="1" applyProtection="1">
      <alignment vertical="center" wrapText="1"/>
    </xf>
    <xf numFmtId="0" fontId="6" fillId="0" borderId="0" xfId="0" applyFont="1" applyAlignment="1" applyProtection="1">
      <alignment horizontal="left" wrapText="1"/>
      <protection locked="0"/>
    </xf>
    <xf numFmtId="0" fontId="8" fillId="0" borderId="0" xfId="0" applyFont="1" applyAlignment="1" applyProtection="1">
      <alignment horizontal="left" wrapText="1"/>
      <protection locked="0"/>
    </xf>
    <xf numFmtId="0" fontId="6" fillId="0" borderId="0" xfId="0" applyFont="1" applyBorder="1" applyAlignment="1" applyProtection="1">
      <alignment horizontal="left" wrapText="1"/>
      <protection locked="0"/>
    </xf>
    <xf numFmtId="0" fontId="6" fillId="0" borderId="0" xfId="0" applyNumberFormat="1" applyFont="1" applyAlignment="1" applyProtection="1">
      <alignment horizontal="left" wrapText="1"/>
    </xf>
    <xf numFmtId="0" fontId="6" fillId="0" borderId="0" xfId="0" applyFont="1" applyAlignment="1" applyProtection="1">
      <alignment horizontal="left" wrapText="1"/>
    </xf>
    <xf numFmtId="2" fontId="3" fillId="0" borderId="13" xfId="0" applyNumberFormat="1" applyFont="1" applyBorder="1" applyAlignment="1" applyProtection="1">
      <alignment horizontal="center" vertical="center" wrapText="1"/>
      <protection locked="0"/>
    </xf>
    <xf numFmtId="2" fontId="3" fillId="0" borderId="14" xfId="0" applyNumberFormat="1" applyFont="1" applyBorder="1" applyAlignment="1" applyProtection="1">
      <alignment horizontal="center" vertical="center" wrapText="1"/>
      <protection locked="0"/>
    </xf>
    <xf numFmtId="0" fontId="29" fillId="0" borderId="11" xfId="0" applyFont="1" applyBorder="1" applyAlignment="1">
      <alignment vertical="top" wrapText="1"/>
    </xf>
    <xf numFmtId="0" fontId="3" fillId="0" borderId="11" xfId="0" applyFont="1" applyBorder="1" applyAlignment="1">
      <alignment horizontal="center" wrapText="1"/>
    </xf>
    <xf numFmtId="0" fontId="3" fillId="0" borderId="11" xfId="0" applyFont="1" applyBorder="1" applyAlignment="1">
      <alignment horizontal="center" vertical="top" wrapText="1"/>
    </xf>
    <xf numFmtId="0" fontId="29" fillId="0" borderId="11" xfId="0" applyFont="1" applyBorder="1" applyAlignment="1">
      <alignment horizontal="left" wrapText="1"/>
    </xf>
    <xf numFmtId="3" fontId="3" fillId="0" borderId="11" xfId="0" applyNumberFormat="1" applyFont="1" applyBorder="1" applyAlignment="1">
      <alignment horizontal="center" vertical="top" wrapText="1"/>
    </xf>
    <xf numFmtId="0" fontId="29" fillId="0" borderId="11" xfId="0" applyFont="1" applyBorder="1"/>
    <xf numFmtId="0" fontId="3" fillId="0" borderId="11" xfId="0" applyFont="1" applyBorder="1" applyAlignment="1">
      <alignment horizontal="left" wrapText="1"/>
    </xf>
    <xf numFmtId="0" fontId="14" fillId="0" borderId="11" xfId="0" applyFont="1" applyBorder="1" applyAlignment="1" applyProtection="1">
      <alignment horizontal="center" wrapText="1"/>
      <protection hidden="1"/>
    </xf>
    <xf numFmtId="0" fontId="14" fillId="0" borderId="12" xfId="0" applyFont="1" applyBorder="1" applyAlignment="1" applyProtection="1">
      <alignment horizontal="center" wrapText="1"/>
      <protection hidden="1"/>
    </xf>
    <xf numFmtId="0" fontId="6" fillId="0" borderId="12" xfId="0" applyFont="1" applyBorder="1" applyAlignment="1">
      <alignment horizontal="left" wrapText="1"/>
    </xf>
    <xf numFmtId="0" fontId="3" fillId="0" borderId="12" xfId="0" applyFont="1" applyBorder="1" applyAlignment="1">
      <alignment horizontal="center" wrapText="1"/>
    </xf>
    <xf numFmtId="3" fontId="6" fillId="0" borderId="12" xfId="0" applyNumberFormat="1" applyFont="1" applyBorder="1" applyAlignment="1">
      <alignment horizontal="center" wrapText="1"/>
    </xf>
    <xf numFmtId="0" fontId="30" fillId="0" borderId="12" xfId="0" applyFont="1" applyBorder="1" applyAlignment="1" applyProtection="1">
      <alignment horizontal="center" wrapText="1"/>
      <protection hidden="1"/>
    </xf>
    <xf numFmtId="0" fontId="31" fillId="0" borderId="12" xfId="0" applyFont="1" applyBorder="1" applyAlignment="1">
      <alignment horizontal="left" wrapText="1"/>
    </xf>
    <xf numFmtId="0" fontId="32" fillId="0" borderId="12" xfId="0" applyFont="1" applyBorder="1" applyAlignment="1">
      <alignment horizontal="center" wrapText="1"/>
    </xf>
    <xf numFmtId="3" fontId="31" fillId="0" borderId="12" xfId="0" applyNumberFormat="1" applyFont="1" applyBorder="1" applyAlignment="1">
      <alignment horizontal="center" wrapText="1"/>
    </xf>
    <xf numFmtId="164" fontId="3" fillId="0" borderId="8" xfId="0" applyNumberFormat="1" applyFont="1" applyBorder="1" applyAlignment="1" applyProtection="1">
      <alignment horizontal="left" vertical="center" wrapText="1"/>
      <protection locked="0"/>
    </xf>
    <xf numFmtId="0" fontId="33" fillId="0" borderId="0" xfId="0" applyFont="1" applyFill="1" applyAlignment="1">
      <alignment horizontal="center" vertical="center" wrapText="1"/>
    </xf>
    <xf numFmtId="14" fontId="33" fillId="0" borderId="0" xfId="0" applyNumberFormat="1" applyFont="1" applyFill="1" applyAlignment="1">
      <alignment horizontal="center" vertical="center" wrapText="1"/>
    </xf>
    <xf numFmtId="164" fontId="33" fillId="0" borderId="0" xfId="0" applyNumberFormat="1" applyFont="1" applyFill="1" applyAlignment="1">
      <alignment horizontal="center" vertical="center" wrapText="1"/>
    </xf>
    <xf numFmtId="0" fontId="5" fillId="0" borderId="0" xfId="0" applyFont="1" applyAlignment="1">
      <alignment horizontal="left" wrapText="1"/>
    </xf>
    <xf numFmtId="0" fontId="33" fillId="0" borderId="0" xfId="0" applyFont="1" applyAlignment="1">
      <alignment horizontal="left" wrapText="1"/>
    </xf>
    <xf numFmtId="14" fontId="5" fillId="0" borderId="0" xfId="0" applyNumberFormat="1" applyFont="1" applyAlignment="1">
      <alignment horizontal="left" wrapText="1"/>
    </xf>
    <xf numFmtId="164" fontId="5" fillId="0" borderId="0" xfId="0" applyNumberFormat="1" applyFont="1" applyAlignment="1">
      <alignment horizontal="left" wrapText="1"/>
    </xf>
    <xf numFmtId="0" fontId="5" fillId="0" borderId="0" xfId="0" applyNumberFormat="1" applyFont="1" applyAlignment="1">
      <alignment horizontal="left" wrapText="1"/>
    </xf>
    <xf numFmtId="22" fontId="5" fillId="0" borderId="0" xfId="0" applyNumberFormat="1" applyFont="1" applyAlignment="1">
      <alignment horizontal="left" wrapText="1"/>
    </xf>
    <xf numFmtId="0" fontId="33" fillId="0" borderId="0" xfId="0" applyFont="1" applyFill="1" applyAlignment="1">
      <alignment horizontal="left" vertical="center" wrapText="1"/>
    </xf>
    <xf numFmtId="164" fontId="33" fillId="0" borderId="0" xfId="0" applyNumberFormat="1" applyFont="1" applyFill="1" applyAlignment="1">
      <alignment horizontal="left" vertical="center" wrapText="1"/>
    </xf>
    <xf numFmtId="14" fontId="33" fillId="0" borderId="0" xfId="0" applyNumberFormat="1" applyFont="1" applyFill="1" applyAlignment="1">
      <alignment horizontal="left" vertical="center" wrapText="1"/>
    </xf>
    <xf numFmtId="0" fontId="5" fillId="0" borderId="0" xfId="0" applyFont="1" applyFill="1" applyAlignment="1">
      <alignment horizontal="left" vertical="center" wrapText="1"/>
    </xf>
    <xf numFmtId="164" fontId="5" fillId="0" borderId="0" xfId="0" applyNumberFormat="1" applyFont="1" applyFill="1" applyAlignment="1">
      <alignment horizontal="left" vertical="center" wrapText="1"/>
    </xf>
    <xf numFmtId="14" fontId="5" fillId="0" borderId="0" xfId="0" applyNumberFormat="1" applyFont="1" applyFill="1" applyAlignment="1">
      <alignment horizontal="left" vertical="center" wrapText="1"/>
    </xf>
    <xf numFmtId="0" fontId="34" fillId="0" borderId="11" xfId="0" applyFont="1" applyBorder="1" applyAlignment="1" applyProtection="1">
      <alignment wrapText="1"/>
      <protection locked="0"/>
    </xf>
    <xf numFmtId="0" fontId="35" fillId="0" borderId="11" xfId="0" applyFont="1" applyBorder="1" applyAlignment="1" applyProtection="1">
      <alignment wrapText="1"/>
      <protection locked="0"/>
    </xf>
    <xf numFmtId="0" fontId="8" fillId="0" borderId="11" xfId="0" applyFont="1" applyBorder="1" applyAlignment="1" applyProtection="1">
      <alignment wrapText="1"/>
      <protection locked="0"/>
    </xf>
    <xf numFmtId="0" fontId="6" fillId="0" borderId="11" xfId="0" applyFont="1" applyBorder="1" applyAlignment="1" applyProtection="1">
      <alignment wrapText="1"/>
      <protection locked="0"/>
    </xf>
    <xf numFmtId="0" fontId="8" fillId="0" borderId="11" xfId="0" applyFont="1" applyBorder="1" applyAlignment="1" applyProtection="1">
      <alignment horizontal="justify" wrapText="1"/>
      <protection locked="0"/>
    </xf>
    <xf numFmtId="0" fontId="6" fillId="0" borderId="11" xfId="0" applyFont="1" applyBorder="1" applyAlignment="1" applyProtection="1">
      <alignment horizontal="justify" wrapText="1"/>
      <protection locked="0"/>
    </xf>
    <xf numFmtId="0" fontId="8"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justify" wrapText="1"/>
      <protection locked="0"/>
    </xf>
    <xf numFmtId="0" fontId="35" fillId="0" borderId="0" xfId="0" applyFont="1" applyAlignment="1" applyProtection="1">
      <alignment wrapText="1"/>
      <protection locked="0"/>
    </xf>
    <xf numFmtId="0" fontId="34" fillId="0" borderId="0" xfId="0" applyFont="1" applyAlignment="1" applyProtection="1">
      <alignment wrapText="1"/>
      <protection locked="0"/>
    </xf>
    <xf numFmtId="0" fontId="8" fillId="0" borderId="0" xfId="0" applyFont="1" applyAlignment="1" applyProtection="1">
      <alignment horizontal="justify" wrapText="1"/>
      <protection locked="0"/>
    </xf>
    <xf numFmtId="0" fontId="8" fillId="0" borderId="0" xfId="0" applyFont="1" applyFill="1" applyAlignment="1">
      <alignment horizontal="center" vertical="center" wrapText="1"/>
    </xf>
    <xf numFmtId="14" fontId="8" fillId="0" borderId="0" xfId="0" applyNumberFormat="1" applyFont="1" applyFill="1" applyAlignment="1">
      <alignment horizontal="center" vertical="center" wrapText="1"/>
    </xf>
    <xf numFmtId="0" fontId="8" fillId="0" borderId="0" xfId="0" applyFont="1" applyAlignment="1">
      <alignment horizontal="left" wrapText="1"/>
    </xf>
    <xf numFmtId="0" fontId="6" fillId="0" borderId="0" xfId="0" applyFont="1" applyFill="1" applyAlignment="1">
      <alignment horizontal="center" vertical="center" wrapText="1"/>
    </xf>
    <xf numFmtId="14" fontId="6" fillId="0" borderId="0" xfId="0" applyNumberFormat="1" applyFont="1" applyFill="1" applyAlignment="1">
      <alignment horizontal="center" vertical="center" wrapText="1"/>
    </xf>
    <xf numFmtId="14" fontId="6" fillId="0" borderId="0" xfId="0" applyNumberFormat="1" applyFont="1" applyAlignment="1">
      <alignment horizontal="left" wrapText="1"/>
    </xf>
    <xf numFmtId="0" fontId="6" fillId="0" borderId="0" xfId="0" applyNumberFormat="1" applyFont="1" applyAlignment="1">
      <alignment horizontal="left" wrapText="1"/>
    </xf>
    <xf numFmtId="22" fontId="6" fillId="0" borderId="0" xfId="0" applyNumberFormat="1" applyFont="1" applyAlignment="1">
      <alignment horizontal="left" wrapText="1"/>
    </xf>
    <xf numFmtId="2" fontId="33" fillId="0" borderId="0" xfId="0" applyNumberFormat="1" applyFont="1" applyAlignment="1">
      <alignment horizontal="center" vertical="center" wrapText="1"/>
    </xf>
    <xf numFmtId="2" fontId="5" fillId="0" borderId="0" xfId="0" applyNumberFormat="1" applyFont="1" applyAlignment="1">
      <alignment horizontal="left" vertical="center" wrapText="1"/>
    </xf>
    <xf numFmtId="2" fontId="5" fillId="0" borderId="0" xfId="0" applyNumberFormat="1" applyFont="1" applyAlignment="1">
      <alignment horizontal="left" wrapText="1"/>
    </xf>
    <xf numFmtId="2" fontId="33" fillId="0" borderId="0" xfId="0" applyNumberFormat="1" applyFont="1" applyAlignment="1">
      <alignment horizontal="left" wrapText="1"/>
    </xf>
    <xf numFmtId="0" fontId="3" fillId="0" borderId="7" xfId="0" applyNumberFormat="1" applyFont="1" applyBorder="1" applyAlignment="1" applyProtection="1">
      <alignment horizontal="left" vertical="center" wrapText="1"/>
      <protection locked="0"/>
    </xf>
    <xf numFmtId="0" fontId="26" fillId="0" borderId="0" xfId="0" applyFont="1" applyBorder="1" applyAlignment="1" applyProtection="1">
      <alignment horizontal="left" wrapText="1"/>
    </xf>
    <xf numFmtId="0" fontId="21" fillId="5" borderId="0" xfId="0" applyFont="1" applyFill="1" applyAlignment="1" applyProtection="1">
      <alignment horizontal="center" wrapText="1"/>
    </xf>
    <xf numFmtId="0" fontId="21" fillId="7" borderId="0" xfId="0" applyFont="1" applyFill="1" applyAlignment="1" applyProtection="1">
      <alignment horizontal="center" wrapText="1"/>
    </xf>
    <xf numFmtId="0" fontId="0" fillId="7" borderId="0" xfId="0" applyFill="1" applyAlignment="1" applyProtection="1">
      <alignment horizontal="center" wrapText="1"/>
    </xf>
    <xf numFmtId="0" fontId="22" fillId="0" borderId="2" xfId="0" applyFont="1" applyBorder="1" applyAlignment="1" applyProtection="1">
      <alignment horizontal="left" wrapText="1"/>
    </xf>
    <xf numFmtId="0" fontId="2" fillId="2" borderId="6" xfId="0" applyFont="1" applyFill="1" applyBorder="1" applyAlignment="1" applyProtection="1">
      <alignment vertical="center" wrapText="1"/>
    </xf>
    <xf numFmtId="0" fontId="2" fillId="2" borderId="7" xfId="0" applyFont="1" applyFill="1" applyBorder="1" applyAlignment="1" applyProtection="1">
      <alignment vertical="center" wrapText="1"/>
    </xf>
    <xf numFmtId="0" fontId="2" fillId="0" borderId="6" xfId="0" applyFont="1" applyBorder="1" applyAlignment="1" applyProtection="1">
      <alignment horizontal="left" vertical="center" wrapText="1"/>
    </xf>
    <xf numFmtId="0" fontId="2" fillId="0" borderId="7" xfId="0" applyFont="1" applyBorder="1" applyAlignment="1" applyProtection="1">
      <alignment horizontal="left" vertical="center" wrapText="1"/>
    </xf>
    <xf numFmtId="0" fontId="2" fillId="4" borderId="6" xfId="0" applyFont="1" applyFill="1" applyBorder="1" applyAlignment="1" applyProtection="1">
      <alignment horizontal="center" vertical="center" wrapText="1"/>
    </xf>
    <xf numFmtId="0" fontId="2" fillId="4" borderId="8" xfId="0" applyFont="1" applyFill="1" applyBorder="1" applyAlignment="1" applyProtection="1">
      <alignment horizontal="center" vertical="center" wrapText="1"/>
    </xf>
    <xf numFmtId="0" fontId="3" fillId="4" borderId="9" xfId="0" applyFont="1" applyFill="1" applyBorder="1" applyAlignment="1" applyProtection="1">
      <alignment horizontal="left" vertical="center" wrapText="1"/>
    </xf>
    <xf numFmtId="0" fontId="3" fillId="4" borderId="15" xfId="0" applyFont="1" applyFill="1" applyBorder="1" applyAlignment="1" applyProtection="1">
      <alignment horizontal="left" vertical="center" wrapText="1"/>
    </xf>
    <xf numFmtId="0" fontId="3" fillId="4" borderId="10" xfId="0" applyFont="1" applyFill="1" applyBorder="1" applyAlignment="1" applyProtection="1">
      <alignment horizontal="left" vertical="center" wrapText="1"/>
    </xf>
    <xf numFmtId="0" fontId="0" fillId="3" borderId="4" xfId="0" applyFill="1" applyBorder="1" applyAlignment="1" applyProtection="1">
      <alignment horizontal="center" wrapText="1"/>
    </xf>
    <xf numFmtId="0" fontId="0" fillId="3" borderId="0" xfId="0" applyFill="1" applyBorder="1" applyAlignment="1" applyProtection="1">
      <alignment horizontal="center" wrapText="1"/>
    </xf>
    <xf numFmtId="0" fontId="0" fillId="3" borderId="5" xfId="0" applyFill="1" applyBorder="1" applyAlignment="1" applyProtection="1">
      <alignment horizontal="center" wrapText="1"/>
    </xf>
    <xf numFmtId="0" fontId="4" fillId="3" borderId="1" xfId="0" applyFont="1" applyFill="1" applyBorder="1" applyAlignment="1" applyProtection="1">
      <alignment horizontal="right" wrapText="1"/>
    </xf>
    <xf numFmtId="0" fontId="4" fillId="3" borderId="2" xfId="0" applyFont="1" applyFill="1" applyBorder="1" applyAlignment="1" applyProtection="1">
      <alignment horizontal="right" wrapText="1"/>
    </xf>
    <xf numFmtId="0" fontId="4" fillId="3" borderId="3" xfId="0" applyFont="1" applyFill="1" applyBorder="1" applyAlignment="1" applyProtection="1">
      <alignment horizontal="right" wrapText="1"/>
    </xf>
    <xf numFmtId="0" fontId="9" fillId="3" borderId="4" xfId="0" applyFont="1" applyFill="1" applyBorder="1" applyAlignment="1" applyProtection="1">
      <alignment horizontal="left" wrapText="1"/>
    </xf>
    <xf numFmtId="0" fontId="10" fillId="3" borderId="0" xfId="0" applyFont="1" applyFill="1" applyBorder="1" applyAlignment="1" applyProtection="1">
      <alignment horizontal="left" wrapText="1"/>
    </xf>
    <xf numFmtId="0" fontId="10" fillId="3" borderId="4" xfId="0" applyFont="1" applyFill="1" applyBorder="1" applyAlignment="1" applyProtection="1">
      <alignment horizontal="left" wrapText="1"/>
    </xf>
    <xf numFmtId="0" fontId="4" fillId="3" borderId="1" xfId="0" applyFont="1" applyFill="1" applyBorder="1" applyAlignment="1" applyProtection="1">
      <alignment wrapText="1"/>
    </xf>
    <xf numFmtId="0" fontId="4" fillId="3" borderId="2" xfId="0" applyFont="1" applyFill="1" applyBorder="1" applyAlignment="1" applyProtection="1">
      <alignment wrapText="1"/>
    </xf>
    <xf numFmtId="0" fontId="0" fillId="3" borderId="9" xfId="0" applyFill="1" applyBorder="1" applyAlignment="1" applyProtection="1">
      <alignment horizontal="right" wrapText="1"/>
    </xf>
    <xf numFmtId="0" fontId="0" fillId="3" borderId="15" xfId="0" applyFill="1" applyBorder="1" applyAlignment="1" applyProtection="1">
      <alignment horizontal="right" wrapText="1"/>
    </xf>
    <xf numFmtId="0" fontId="0" fillId="3" borderId="10" xfId="0" applyFill="1" applyBorder="1" applyAlignment="1" applyProtection="1">
      <alignment horizontal="right" wrapText="1"/>
    </xf>
    <xf numFmtId="0" fontId="10" fillId="3" borderId="9" xfId="0" applyFont="1" applyFill="1" applyBorder="1" applyAlignment="1" applyProtection="1">
      <alignment horizontal="left" wrapText="1"/>
    </xf>
    <xf numFmtId="0" fontId="10" fillId="3" borderId="15" xfId="0" applyFont="1" applyFill="1" applyBorder="1" applyAlignment="1" applyProtection="1">
      <alignment horizontal="left" wrapText="1"/>
    </xf>
    <xf numFmtId="0" fontId="10" fillId="3" borderId="10" xfId="0" applyFont="1" applyFill="1" applyBorder="1" applyAlignment="1" applyProtection="1">
      <alignment horizontal="left" wrapText="1"/>
    </xf>
    <xf numFmtId="0" fontId="3" fillId="0" borderId="8" xfId="0" applyNumberFormat="1" applyFont="1" applyBorder="1" applyAlignment="1" applyProtection="1">
      <alignment horizontal="left" vertical="center" wrapText="1"/>
      <protection locked="0"/>
    </xf>
    <xf numFmtId="0" fontId="3" fillId="0" borderId="7" xfId="0" applyNumberFormat="1" applyFont="1" applyBorder="1" applyAlignment="1" applyProtection="1">
      <alignment horizontal="left" vertical="center" wrapText="1"/>
      <protection locked="0"/>
    </xf>
    <xf numFmtId="0" fontId="3" fillId="0" borderId="3" xfId="0" applyFont="1" applyBorder="1" applyAlignment="1" applyProtection="1">
      <alignment horizontal="left" vertical="top" wrapText="1"/>
    </xf>
    <xf numFmtId="0" fontId="3" fillId="0" borderId="5" xfId="0" applyFont="1" applyBorder="1" applyAlignment="1" applyProtection="1">
      <alignment horizontal="left" vertical="top" wrapText="1"/>
    </xf>
    <xf numFmtId="0" fontId="2" fillId="2" borderId="1"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4" fillId="4" borderId="6" xfId="0" applyFont="1" applyFill="1" applyBorder="1" applyAlignment="1" applyProtection="1">
      <alignment horizontal="left" vertical="center" wrapText="1"/>
    </xf>
    <xf numFmtId="0" fontId="4" fillId="4" borderId="8" xfId="0" applyFont="1" applyFill="1" applyBorder="1" applyAlignment="1" applyProtection="1">
      <alignment horizontal="left" vertical="center" wrapText="1"/>
    </xf>
    <xf numFmtId="0" fontId="4" fillId="4" borderId="8" xfId="0" applyFont="1" applyFill="1" applyBorder="1" applyAlignment="1" applyProtection="1">
      <alignment horizontal="left" vertical="center" wrapText="1"/>
      <protection locked="0"/>
    </xf>
    <xf numFmtId="0" fontId="4" fillId="4" borderId="7" xfId="0" applyFont="1" applyFill="1" applyBorder="1" applyAlignment="1" applyProtection="1">
      <alignment horizontal="left" vertical="center" wrapText="1"/>
      <protection locked="0"/>
    </xf>
    <xf numFmtId="0" fontId="26" fillId="0" borderId="15" xfId="0" applyFont="1" applyBorder="1" applyAlignment="1" applyProtection="1">
      <alignment horizontal="left" wrapText="1"/>
    </xf>
    <xf numFmtId="0" fontId="20" fillId="3" borderId="0" xfId="1" applyFont="1" applyFill="1" applyBorder="1" applyAlignment="1" applyProtection="1">
      <alignment horizontal="center" wrapText="1"/>
    </xf>
    <xf numFmtId="0" fontId="4" fillId="0" borderId="6" xfId="0" applyFont="1" applyBorder="1" applyAlignment="1" applyProtection="1">
      <alignment horizontal="center" wrapText="1"/>
    </xf>
    <xf numFmtId="0" fontId="4" fillId="0" borderId="8" xfId="0" applyFont="1" applyBorder="1" applyAlignment="1" applyProtection="1">
      <alignment horizontal="center" wrapText="1"/>
    </xf>
    <xf numFmtId="0" fontId="4" fillId="0" borderId="7" xfId="0" applyFont="1" applyBorder="1" applyAlignment="1" applyProtection="1">
      <alignment horizontal="center" wrapText="1"/>
    </xf>
    <xf numFmtId="0" fontId="3" fillId="4" borderId="1" xfId="0" applyFont="1" applyFill="1" applyBorder="1" applyAlignment="1" applyProtection="1">
      <alignment horizontal="left" vertical="center" wrapText="1"/>
    </xf>
    <xf numFmtId="0" fontId="3" fillId="4" borderId="2" xfId="0" applyFont="1" applyFill="1" applyBorder="1" applyAlignment="1" applyProtection="1">
      <alignment horizontal="left" vertical="center" wrapText="1"/>
    </xf>
    <xf numFmtId="0" fontId="3" fillId="4" borderId="3" xfId="0" applyFont="1" applyFill="1" applyBorder="1" applyAlignment="1" applyProtection="1">
      <alignment horizontal="left" vertical="center" wrapText="1"/>
    </xf>
    <xf numFmtId="0" fontId="3" fillId="4" borderId="4" xfId="0" applyFont="1" applyFill="1" applyBorder="1" applyAlignment="1" applyProtection="1">
      <alignment horizontal="left" vertical="center" wrapText="1"/>
    </xf>
    <xf numFmtId="0" fontId="3" fillId="4" borderId="0" xfId="0" applyFont="1" applyFill="1" applyBorder="1" applyAlignment="1" applyProtection="1">
      <alignment horizontal="left" vertical="center" wrapText="1"/>
    </xf>
    <xf numFmtId="0" fontId="3" fillId="4" borderId="5" xfId="0" applyFont="1" applyFill="1" applyBorder="1" applyAlignment="1" applyProtection="1">
      <alignment horizontal="left" vertical="center" wrapText="1"/>
    </xf>
    <xf numFmtId="0" fontId="3" fillId="2" borderId="8" xfId="0" applyFont="1" applyFill="1" applyBorder="1" applyAlignment="1" applyProtection="1">
      <alignment horizontal="left" vertical="center" wrapText="1"/>
    </xf>
    <xf numFmtId="0" fontId="4" fillId="0" borderId="6" xfId="0" applyFont="1" applyBorder="1" applyAlignment="1" applyProtection="1">
      <alignment horizontal="left" vertical="center" wrapText="1"/>
    </xf>
    <xf numFmtId="0" fontId="4" fillId="0" borderId="8" xfId="0" applyFont="1" applyBorder="1" applyAlignment="1" applyProtection="1">
      <alignment horizontal="left" vertical="center" wrapText="1"/>
    </xf>
    <xf numFmtId="0" fontId="4" fillId="0" borderId="1" xfId="0" applyFont="1" applyBorder="1" applyAlignment="1" applyProtection="1">
      <alignment horizontal="left" vertical="center" wrapText="1"/>
    </xf>
    <xf numFmtId="0" fontId="4" fillId="0" borderId="2" xfId="0" applyFont="1" applyBorder="1" applyAlignment="1" applyProtection="1">
      <alignment horizontal="left" vertical="center" wrapText="1"/>
    </xf>
    <xf numFmtId="0" fontId="3" fillId="0" borderId="2" xfId="0" applyNumberFormat="1" applyFont="1" applyBorder="1" applyAlignment="1" applyProtection="1">
      <alignment horizontal="left" vertical="center" wrapText="1"/>
      <protection locked="0"/>
    </xf>
    <xf numFmtId="0" fontId="3" fillId="0" borderId="3" xfId="0" applyNumberFormat="1" applyFont="1" applyBorder="1" applyAlignment="1" applyProtection="1">
      <alignment horizontal="left" vertical="center" wrapText="1"/>
      <protection locked="0"/>
    </xf>
    <xf numFmtId="0" fontId="2" fillId="0" borderId="6" xfId="0" applyFont="1" applyBorder="1" applyAlignment="1" applyProtection="1">
      <alignment horizontal="right" vertical="center" wrapText="1"/>
    </xf>
    <xf numFmtId="0" fontId="2" fillId="0" borderId="10" xfId="0" applyFont="1" applyBorder="1" applyAlignment="1" applyProtection="1">
      <alignment horizontal="right" vertical="center" wrapText="1"/>
    </xf>
    <xf numFmtId="0" fontId="2" fillId="0" borderId="2" xfId="0" applyFont="1" applyBorder="1" applyAlignment="1" applyProtection="1">
      <alignment horizontal="right" vertical="center" wrapText="1"/>
    </xf>
    <xf numFmtId="0" fontId="2" fillId="0" borderId="3" xfId="0" applyFont="1" applyBorder="1" applyAlignment="1" applyProtection="1">
      <alignment horizontal="right" vertical="center" wrapText="1"/>
    </xf>
    <xf numFmtId="0" fontId="24" fillId="0" borderId="0" xfId="0" applyFont="1" applyBorder="1" applyAlignment="1" applyProtection="1">
      <alignment horizontal="left" wrapText="1"/>
    </xf>
    <xf numFmtId="0" fontId="0" fillId="5" borderId="0" xfId="0" applyFill="1" applyAlignment="1" applyProtection="1">
      <alignment horizontal="center" wrapText="1"/>
    </xf>
    <xf numFmtId="0" fontId="2" fillId="9" borderId="0" xfId="0" applyFont="1" applyFill="1" applyAlignment="1" applyProtection="1">
      <alignment horizontal="center" vertical="center" wrapText="1"/>
    </xf>
    <xf numFmtId="0" fontId="4" fillId="8" borderId="0" xfId="0" applyFont="1" applyFill="1" applyAlignment="1">
      <alignment horizontal="left" vertical="top" wrapText="1" indent="12"/>
    </xf>
    <xf numFmtId="0" fontId="4" fillId="4" borderId="0" xfId="0" applyFont="1" applyFill="1" applyAlignment="1">
      <alignment horizontal="left" wrapText="1" indent="14"/>
    </xf>
    <xf numFmtId="0" fontId="0" fillId="5" borderId="0" xfId="0" applyFill="1" applyAlignment="1">
      <alignment horizontal="center"/>
    </xf>
    <xf numFmtId="0" fontId="16" fillId="5" borderId="0" xfId="0" applyFont="1" applyFill="1" applyAlignment="1">
      <alignment horizontal="center"/>
    </xf>
    <xf numFmtId="0" fontId="17" fillId="5" borderId="0" xfId="0" applyFont="1" applyFill="1" applyAlignment="1">
      <alignment horizontal="center"/>
    </xf>
    <xf numFmtId="0" fontId="18" fillId="5" borderId="0" xfId="0" applyFont="1" applyFill="1" applyAlignment="1">
      <alignment horizontal="center"/>
    </xf>
    <xf numFmtId="0" fontId="19" fillId="5" borderId="0" xfId="0" applyFont="1" applyFill="1" applyAlignment="1">
      <alignment horizontal="center"/>
    </xf>
    <xf numFmtId="0" fontId="4" fillId="6" borderId="0" xfId="0" applyFont="1" applyFill="1" applyAlignment="1">
      <alignment horizontal="left" wrapText="1"/>
    </xf>
    <xf numFmtId="0" fontId="4" fillId="6" borderId="0" xfId="0" applyFont="1" applyFill="1" applyAlignment="1">
      <alignment horizontal="left" vertical="center" wrapText="1"/>
    </xf>
    <xf numFmtId="0" fontId="4" fillId="6" borderId="0" xfId="0" applyFont="1" applyFill="1" applyAlignment="1">
      <alignment horizontal="left" vertical="center"/>
    </xf>
    <xf numFmtId="0" fontId="5" fillId="0" borderId="0" xfId="0" applyFont="1" applyFill="1" applyAlignment="1">
      <alignment horizontal="center" vertical="center" wrapText="1"/>
    </xf>
    <xf numFmtId="164" fontId="5" fillId="0" borderId="0" xfId="0" applyNumberFormat="1" applyFont="1" applyFill="1" applyAlignment="1">
      <alignment horizontal="center" vertical="center" wrapText="1"/>
    </xf>
    <xf numFmtId="14" fontId="5" fillId="0" borderId="0" xfId="0" applyNumberFormat="1" applyFont="1" applyFill="1" applyAlignment="1">
      <alignment horizontal="center" vertical="center" wrapText="1"/>
    </xf>
    <xf numFmtId="2" fontId="5" fillId="0" borderId="0" xfId="0" applyNumberFormat="1" applyFont="1" applyAlignment="1">
      <alignment horizontal="center" vertical="center" wrapText="1"/>
    </xf>
  </cellXfs>
  <cellStyles count="2">
    <cellStyle name="Hyperlink" xfId="1" builtinId="8"/>
    <cellStyle name="Normal" xfId="0" builtinId="0"/>
  </cellStyles>
  <dxfs count="13">
    <dxf>
      <font>
        <strike val="0"/>
        <outline val="0"/>
        <shadow val="0"/>
        <u val="none"/>
        <vertAlign val="baseline"/>
        <sz val="14"/>
        <color theme="1"/>
        <name val="Calibri"/>
        <scheme val="minor"/>
      </font>
      <alignment horizontal="center" vertical="bottom" textRotation="0" wrapText="1" indent="0" relativeIndent="255" justifyLastLine="0" shrinkToFit="0" mergeCell="0" readingOrder="0"/>
      <border diagonalUp="0" diagonalDown="0">
        <left style="thin">
          <color auto="1"/>
        </left>
        <right style="thin">
          <color auto="1"/>
        </right>
        <top style="thin">
          <color auto="1"/>
        </top>
        <bottom style="thin">
          <color auto="1"/>
        </bottom>
      </border>
    </dxf>
    <dxf>
      <font>
        <strike val="0"/>
        <outline val="0"/>
        <shadow val="0"/>
        <u val="none"/>
        <vertAlign val="baseline"/>
        <sz val="12"/>
        <color theme="1"/>
        <name val="Calibri"/>
        <scheme val="minor"/>
      </font>
      <alignment horizontal="center" vertical="bottom" textRotation="0" wrapText="1" indent="0" relativeIndent="255" justifyLastLine="0" shrinkToFit="0" mergeCell="0" readingOrder="0"/>
      <border diagonalUp="0" diagonalDown="0">
        <left style="thin">
          <color auto="1"/>
        </left>
        <right style="thin">
          <color auto="1"/>
        </right>
        <top style="thin">
          <color auto="1"/>
        </top>
        <bottom style="thin">
          <color auto="1"/>
        </bottom>
      </border>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border diagonalUp="0" diagonalDown="0" outline="0">
        <left style="thin">
          <color indexed="64"/>
        </left>
        <right style="thin">
          <color auto="1"/>
        </right>
        <top style="thin">
          <color auto="1"/>
        </top>
        <bottom style="thin">
          <color auto="1"/>
        </bottom>
      </border>
    </dxf>
    <dxf>
      <font>
        <strike val="0"/>
        <outline val="0"/>
        <shadow val="0"/>
        <u val="none"/>
        <vertAlign val="baseline"/>
        <sz val="14"/>
        <color auto="1"/>
        <name val="Calibri"/>
        <scheme val="minor"/>
      </font>
      <alignment horizontal="center" vertical="bottom" textRotation="0" wrapText="1" indent="0" relativeIndent="255" justifyLastLine="0" shrinkToFit="0" mergeCell="0" readingOrder="0"/>
      <border diagonalUp="0" diagonalDown="0" outline="0">
        <left style="thin">
          <color auto="1"/>
        </left>
        <right style="thin">
          <color auto="1"/>
        </right>
        <top style="thin">
          <color auto="1"/>
        </top>
        <bottom style="thin">
          <color auto="1"/>
        </bottom>
      </border>
      <protection locked="1" hidden="1"/>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strike val="0"/>
        <outline val="0"/>
        <shadow val="0"/>
        <u val="none"/>
        <vertAlign val="baseline"/>
        <sz val="14"/>
        <color theme="1"/>
        <name val="Calibri"/>
        <scheme val="minor"/>
      </font>
      <alignment horizontal="left" vertical="bottom" textRotation="0" wrapText="1" indent="0" relativeIndent="255" justifyLastLine="0" shrinkToFit="0" mergeCell="0" readingOrder="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numFmt numFmtId="0" formatCode="General"/>
      <alignment horizontal="left" vertical="bottom" textRotation="0" wrapText="1" indent="0" relativeIndent="255" justifyLastLine="0" shrinkToFit="0" mergeCell="0" readingOrder="0"/>
      <protection locked="1"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
      <font>
        <b val="0"/>
        <i val="0"/>
        <strike val="0"/>
        <condense val="0"/>
        <extend val="0"/>
        <outline val="0"/>
        <shadow val="0"/>
        <u val="none"/>
        <vertAlign val="baseline"/>
        <sz val="14"/>
        <color theme="1"/>
        <name val="Calibri"/>
        <scheme val="minor"/>
      </font>
      <alignment horizontal="left" vertical="bottom" textRotation="0" wrapText="1" indent="0" relativeIndent="255" justifyLastLine="0" shrinkToFit="0" mergeCell="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16776960"/>
  <ax:ocxPr ax:name="Caption" ax:value="ADD TO REPORT"/>
  <ax:ocxPr ax:name="Size" ax:value="4260;1402"/>
  <ax:ocxPr ax:name="FontName" ax:value="Calibri"/>
  <ax:ocxPr ax:name="FontHeight" ax:value="22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BackColor" ax:value="33023"/>
  <ax:ocxPr ax:name="Caption" ax:value="SAVE FILE IN EXCEL"/>
  <ax:ocxPr ax:name="Size" ax:value="4366;1508"/>
  <ax:ocxPr ax:name="FontName" ax:value="Calibri"/>
  <ax:ocxPr ax:name="FontHeight" ax:value="22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BackColor" ax:value="32896"/>
  <ax:ocxPr ax:name="Caption" ax:value="EXPORT pdf"/>
  <ax:ocxPr ax:name="Size" ax:value="3572;1614"/>
  <ax:ocxPr ax:name="FontName" ax:value="Calibri"/>
  <ax:ocxPr ax:name="FontHeight" ax:value="22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BackColor" ax:value="65280"/>
  <ax:ocxPr ax:name="Caption" ax:value="CLEAR DATA "/>
  <ax:ocxPr ax:name="Size" ax:value="4260;1455"/>
  <ax:ocxPr ax:name="FontName" ax:value="Calibri"/>
  <ax:ocxPr ax:name="FontHeight" ax:value="225"/>
  <ax:ocxPr ax:name="FontCharSet" ax:value="0"/>
  <ax:ocxPr ax:name="FontPitchAndFamily" ax:value="2"/>
  <ax:ocxPr ax:name="ParagraphAlign" ax:value="3"/>
</ax:ocx>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0</xdr:colOff>
      <xdr:row>32</xdr:row>
      <xdr:rowOff>227135</xdr:rowOff>
    </xdr:from>
    <xdr:to>
      <xdr:col>1</xdr:col>
      <xdr:colOff>1181099</xdr:colOff>
      <xdr:row>34</xdr:row>
      <xdr:rowOff>29307</xdr:rowOff>
    </xdr:to>
    <xdr:sp macro="" textlink="">
      <xdr:nvSpPr>
        <xdr:cNvPr id="7" name="TextBox 6">
          <a:extLst>
            <a:ext uri="{FF2B5EF4-FFF2-40B4-BE49-F238E27FC236}">
              <a16:creationId xmlns:a16="http://schemas.microsoft.com/office/drawing/2014/main" xmlns="" id="{00000000-0008-0000-0000-000007000000}"/>
            </a:ext>
          </a:extLst>
        </xdr:cNvPr>
        <xdr:cNvSpPr txBox="1"/>
      </xdr:nvSpPr>
      <xdr:spPr>
        <a:xfrm>
          <a:off x="0" y="7999535"/>
          <a:ext cx="1724024" cy="29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xdr:clientData/>
  </xdr:twoCellAnchor>
  <xdr:twoCellAnchor editAs="oneCell">
    <xdr:from>
      <xdr:col>0</xdr:col>
      <xdr:colOff>0</xdr:colOff>
      <xdr:row>32</xdr:row>
      <xdr:rowOff>227135</xdr:rowOff>
    </xdr:from>
    <xdr:to>
      <xdr:col>1</xdr:col>
      <xdr:colOff>1407964</xdr:colOff>
      <xdr:row>33</xdr:row>
      <xdr:rowOff>217250</xdr:rowOff>
    </xdr:to>
    <xdr:pic>
      <xdr:nvPicPr>
        <xdr:cNvPr id="14" name="Picture 13"/>
        <xdr:cNvPicPr>
          <a:picLocks noChangeAspect="1"/>
        </xdr:cNvPicPr>
      </xdr:nvPicPr>
      <xdr:blipFill>
        <a:blip xmlns:r="http://schemas.openxmlformats.org/officeDocument/2006/relationships" r:embed="rId1" cstate="print"/>
        <a:stretch>
          <a:fillRect/>
        </a:stretch>
      </xdr:blipFill>
      <xdr:spPr>
        <a:xfrm>
          <a:off x="0" y="7999535"/>
          <a:ext cx="1950889" cy="237765"/>
        </a:xfrm>
        <a:prstGeom prst="rect">
          <a:avLst/>
        </a:prstGeom>
      </xdr:spPr>
    </xdr:pic>
    <xdr:clientData/>
  </xdr:twoCellAnchor>
  <xdr:oneCellAnchor>
    <xdr:from>
      <xdr:col>7</xdr:col>
      <xdr:colOff>407384</xdr:colOff>
      <xdr:row>6</xdr:row>
      <xdr:rowOff>9525</xdr:rowOff>
    </xdr:from>
    <xdr:ext cx="4654479" cy="1782924"/>
    <xdr:sp macro="" textlink="">
      <xdr:nvSpPr>
        <xdr:cNvPr id="5" name="Rectangle 4"/>
        <xdr:cNvSpPr/>
      </xdr:nvSpPr>
      <xdr:spPr>
        <a:xfrm>
          <a:off x="7303484" y="1400175"/>
          <a:ext cx="4654479" cy="1782924"/>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ctr"/>
          <a:r>
            <a:rPr lang="en-US" sz="5400" b="1" cap="all" spc="0">
              <a:ln w="0"/>
              <a:solidFill>
                <a:schemeClr val="tx1"/>
              </a:solidFill>
              <a:effectLst>
                <a:reflection blurRad="12700" stA="50000" endPos="50000" dist="5000" dir="5400000" sy="-100000" rotWithShape="0"/>
              </a:effectLst>
            </a:rPr>
            <a:t>press</a:t>
          </a:r>
          <a:r>
            <a:rPr lang="en-US" sz="5400" b="1" cap="all" spc="0" baseline="0">
              <a:ln w="0"/>
              <a:solidFill>
                <a:schemeClr val="tx1"/>
              </a:solidFill>
              <a:effectLst>
                <a:reflection blurRad="12700" stA="50000" endPos="50000" dist="5000" dir="5400000" sy="-100000" rotWithShape="0"/>
              </a:effectLst>
            </a:rPr>
            <a:t> ctrl+f2 </a:t>
          </a:r>
        </a:p>
        <a:p>
          <a:pPr algn="ctr"/>
          <a:r>
            <a:rPr lang="en-US" sz="5400" b="1" cap="all" spc="0" baseline="0">
              <a:ln w="0"/>
              <a:solidFill>
                <a:schemeClr val="tx1"/>
              </a:solidFill>
              <a:effectLst>
                <a:reflection blurRad="12700" stA="50000" endPos="50000" dist="5000" dir="5400000" sy="-100000" rotWithShape="0"/>
              </a:effectLst>
            </a:rPr>
            <a:t>to preview </a:t>
          </a:r>
          <a:endParaRPr lang="en-US" sz="5400" b="1" cap="all" spc="0">
            <a:ln w="0"/>
            <a:solidFill>
              <a:schemeClr val="tx1"/>
            </a:solidFill>
            <a:effectLst>
              <a:reflection blurRad="12700" stA="50000" endPos="50000" dist="5000" dir="5400000" sy="-100000" rotWithShape="0"/>
            </a:effectLst>
          </a:endParaRPr>
        </a:p>
      </xdr:txBody>
    </xdr:sp>
    <xdr:clientData/>
  </xdr:oneCellAnchor>
  <xdr:oneCellAnchor>
    <xdr:from>
      <xdr:col>7</xdr:col>
      <xdr:colOff>95250</xdr:colOff>
      <xdr:row>1</xdr:row>
      <xdr:rowOff>361950</xdr:rowOff>
    </xdr:from>
    <xdr:ext cx="5438775" cy="687176"/>
    <xdr:sp macro="" textlink="">
      <xdr:nvSpPr>
        <xdr:cNvPr id="8" name="Rectangle 7"/>
        <xdr:cNvSpPr/>
      </xdr:nvSpPr>
      <xdr:spPr>
        <a:xfrm>
          <a:off x="6991350" y="619125"/>
          <a:ext cx="5438775" cy="687176"/>
        </a:xfrm>
        <a:prstGeom prst="rect">
          <a:avLst/>
        </a:prstGeom>
        <a:noFill/>
      </xdr:spPr>
      <xdr:txBody>
        <a:bodyPr wrap="square" lIns="91440" tIns="45720" rIns="91440" bIns="45720">
          <a:spAutoFit/>
        </a:bodyPr>
        <a:lstStyle/>
        <a:p>
          <a:pPr algn="ctr"/>
          <a:r>
            <a:rPr lang="en-US" sz="2400" b="1" cap="none" spc="0">
              <a:ln w="10541" cmpd="sng">
                <a:solidFill>
                  <a:schemeClr val="accent1">
                    <a:shade val="88000"/>
                    <a:satMod val="110000"/>
                  </a:schemeClr>
                </a:solidFill>
                <a:prstDash val="solid"/>
              </a:ln>
              <a:solidFill>
                <a:schemeClr val="tx1"/>
              </a:solidFill>
              <a:effectLst/>
            </a:rPr>
            <a:t>DEVELOPER:</a:t>
          </a:r>
          <a:r>
            <a:rPr lang="en-US" sz="2400" b="1" cap="none" spc="0" baseline="0">
              <a:ln w="10541" cmpd="sng">
                <a:solidFill>
                  <a:schemeClr val="accent1">
                    <a:shade val="88000"/>
                    <a:satMod val="110000"/>
                  </a:schemeClr>
                </a:solidFill>
                <a:prstDash val="solid"/>
              </a:ln>
              <a:solidFill>
                <a:schemeClr val="tx1"/>
              </a:solidFill>
              <a:effectLst/>
            </a:rPr>
            <a:t> </a:t>
          </a:r>
          <a:r>
            <a:rPr lang="en-US" sz="2400" b="1" cap="none" spc="0" baseline="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LOGIC INSTRUMENTS</a:t>
          </a:r>
        </a:p>
        <a:p>
          <a:pPr algn="ctr"/>
          <a:r>
            <a:rPr lang="en-US" sz="1400" b="1" cap="none" spc="0" baseline="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7010210020, 9551783347 , logic_instruments@yahoo.in</a:t>
          </a:r>
          <a:endParaRPr lang="en-US" sz="1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endParaRPr>
        </a:p>
      </xdr:txBody>
    </xdr:sp>
    <xdr:clientData/>
  </xdr:oneCellAnchor>
  <xdr:twoCellAnchor>
    <xdr:from>
      <xdr:col>4</xdr:col>
      <xdr:colOff>590551</xdr:colOff>
      <xdr:row>2</xdr:row>
      <xdr:rowOff>15430</xdr:rowOff>
    </xdr:from>
    <xdr:to>
      <xdr:col>5</xdr:col>
      <xdr:colOff>409575</xdr:colOff>
      <xdr:row>4</xdr:row>
      <xdr:rowOff>152401</xdr:rowOff>
    </xdr:to>
    <xdr:pic>
      <xdr:nvPicPr>
        <xdr:cNvPr id="9" name="Picture 57" descr="Graphic1"/>
        <xdr:cNvPicPr>
          <a:picLocks noChangeAspect="1" noChangeArrowheads="1"/>
        </xdr:cNvPicPr>
      </xdr:nvPicPr>
      <xdr:blipFill>
        <a:blip xmlns:r="http://schemas.openxmlformats.org/officeDocument/2006/relationships" r:embed="rId2" cstate="print"/>
        <a:srcRect/>
        <a:stretch>
          <a:fillRect/>
        </a:stretch>
      </xdr:blipFill>
      <xdr:spPr bwMode="auto">
        <a:xfrm>
          <a:off x="5495926" y="663130"/>
          <a:ext cx="723899" cy="489396"/>
        </a:xfrm>
        <a:prstGeom prst="rect">
          <a:avLst/>
        </a:prstGeom>
        <a:noFill/>
        <a:ln w="9525">
          <a:noFill/>
          <a:miter lim="800000"/>
          <a:headEnd/>
          <a:tailEnd/>
        </a:ln>
      </xdr:spPr>
    </xdr:pic>
    <xdr:clientData/>
  </xdr:twoCellAnchor>
  <xdr:twoCellAnchor>
    <xdr:from>
      <xdr:col>4</xdr:col>
      <xdr:colOff>590551</xdr:colOff>
      <xdr:row>2</xdr:row>
      <xdr:rowOff>15430</xdr:rowOff>
    </xdr:from>
    <xdr:to>
      <xdr:col>5</xdr:col>
      <xdr:colOff>409575</xdr:colOff>
      <xdr:row>4</xdr:row>
      <xdr:rowOff>152401</xdr:rowOff>
    </xdr:to>
    <xdr:pic>
      <xdr:nvPicPr>
        <xdr:cNvPr id="10" name="Picture 57" descr="Graphic1"/>
        <xdr:cNvPicPr>
          <a:picLocks noChangeAspect="1" noChangeArrowheads="1"/>
        </xdr:cNvPicPr>
      </xdr:nvPicPr>
      <xdr:blipFill>
        <a:blip xmlns:r="http://schemas.openxmlformats.org/officeDocument/2006/relationships" r:embed="rId2" cstate="print"/>
        <a:srcRect/>
        <a:stretch>
          <a:fillRect/>
        </a:stretch>
      </xdr:blipFill>
      <xdr:spPr bwMode="auto">
        <a:xfrm>
          <a:off x="5495926" y="663130"/>
          <a:ext cx="723899" cy="48939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142874</xdr:colOff>
      <xdr:row>3</xdr:row>
      <xdr:rowOff>76200</xdr:rowOff>
    </xdr:from>
    <xdr:ext cx="2971801" cy="1094274"/>
    <xdr:sp macro="" textlink="">
      <xdr:nvSpPr>
        <xdr:cNvPr id="2" name="Rectangle 1"/>
        <xdr:cNvSpPr/>
      </xdr:nvSpPr>
      <xdr:spPr>
        <a:xfrm>
          <a:off x="8667749" y="647700"/>
          <a:ext cx="2971801" cy="1094274"/>
        </a:xfrm>
        <a:prstGeom prst="rect">
          <a:avLst/>
        </a:prstGeom>
        <a:noFill/>
      </xdr:spPr>
      <xdr:txBody>
        <a:bodyPr wrap="square" lIns="91440" tIns="45720" rIns="91440" bIns="45720">
          <a:spAutoFit/>
          <a:scene3d>
            <a:camera prst="orthographicFront">
              <a:rot lat="0" lon="0" rev="0"/>
            </a:camera>
            <a:lightRig rig="contrasting" dir="t">
              <a:rot lat="0" lon="0" rev="4500000"/>
            </a:lightRig>
          </a:scene3d>
          <a:sp3d contourW="6350" prstMaterial="metal">
            <a:bevelT w="127000" h="31750" prst="relaxedInset"/>
            <a:contourClr>
              <a:schemeClr val="accent1">
                <a:shade val="75000"/>
              </a:schemeClr>
            </a:contourClr>
          </a:sp3d>
        </a:bodyPr>
        <a:lstStyle/>
        <a:p>
          <a:pPr algn="l"/>
          <a:r>
            <a:rPr lang="en-US" sz="32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LOGIC</a:t>
          </a:r>
          <a:r>
            <a:rPr lang="en-US" sz="3200" b="1" cap="all" spc="0" baseline="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rPr>
            <a:t> INSTRUMENTS</a:t>
          </a:r>
          <a:endParaRPr lang="en-US" sz="3200" b="1" cap="all" spc="0">
            <a:ln w="0"/>
            <a:gradFill flip="none">
              <a:gsLst>
                <a:gs pos="0">
                  <a:schemeClr val="accent1">
                    <a:tint val="75000"/>
                    <a:shade val="75000"/>
                    <a:satMod val="170000"/>
                  </a:schemeClr>
                </a:gs>
                <a:gs pos="49000">
                  <a:schemeClr val="accent1">
                    <a:tint val="88000"/>
                    <a:shade val="65000"/>
                    <a:satMod val="172000"/>
                  </a:schemeClr>
                </a:gs>
                <a:gs pos="50000">
                  <a:schemeClr val="accent1">
                    <a:shade val="65000"/>
                    <a:satMod val="130000"/>
                  </a:schemeClr>
                </a:gs>
                <a:gs pos="92000">
                  <a:schemeClr val="accent1">
                    <a:shade val="50000"/>
                    <a:satMod val="120000"/>
                  </a:schemeClr>
                </a:gs>
                <a:gs pos="100000">
                  <a:schemeClr val="accent1">
                    <a:shade val="48000"/>
                    <a:satMod val="120000"/>
                  </a:schemeClr>
                </a:gs>
              </a:gsLst>
              <a:lin ang="5400000"/>
            </a:gradFill>
            <a:effectLst>
              <a:reflection blurRad="12700" stA="50000" endPos="50000" dist="5000" dir="5400000" sy="-100000" rotWithShape="0"/>
            </a:effectLst>
          </a:endParaRPr>
        </a:p>
      </xdr:txBody>
    </xdr:sp>
    <xdr:clientData/>
  </xdr:oneCellAnchor>
  <xdr:twoCellAnchor editAs="oneCell">
    <xdr:from>
      <xdr:col>13</xdr:col>
      <xdr:colOff>323850</xdr:colOff>
      <xdr:row>3</xdr:row>
      <xdr:rowOff>104775</xdr:rowOff>
    </xdr:from>
    <xdr:to>
      <xdr:col>15</xdr:col>
      <xdr:colOff>143020</xdr:colOff>
      <xdr:row>9</xdr:row>
      <xdr:rowOff>38250</xdr:rowOff>
    </xdr:to>
    <xdr:pic>
      <xdr:nvPicPr>
        <xdr:cNvPr id="3" name="Picture 2" descr="logo.jpg"/>
        <xdr:cNvPicPr>
          <a:picLocks noChangeAspect="1"/>
        </xdr:cNvPicPr>
      </xdr:nvPicPr>
      <xdr:blipFill>
        <a:blip xmlns:r="http://schemas.openxmlformats.org/officeDocument/2006/relationships" r:embed="rId1"/>
        <a:stretch>
          <a:fillRect/>
        </a:stretch>
      </xdr:blipFill>
      <xdr:spPr>
        <a:xfrm>
          <a:off x="7629525" y="676275"/>
          <a:ext cx="1038370" cy="1076475"/>
        </a:xfrm>
        <a:prstGeom prst="rect">
          <a:avLst/>
        </a:prstGeom>
      </xdr:spPr>
    </xdr:pic>
    <xdr:clientData/>
  </xdr:twoCellAnchor>
  <xdr:oneCellAnchor>
    <xdr:from>
      <xdr:col>11</xdr:col>
      <xdr:colOff>293624</xdr:colOff>
      <xdr:row>10</xdr:row>
      <xdr:rowOff>124364</xdr:rowOff>
    </xdr:from>
    <xdr:ext cx="5298310" cy="593239"/>
    <xdr:sp macro="" textlink="">
      <xdr:nvSpPr>
        <xdr:cNvPr id="4" name="Rectangle 3"/>
        <xdr:cNvSpPr/>
      </xdr:nvSpPr>
      <xdr:spPr>
        <a:xfrm>
          <a:off x="6684899" y="2029364"/>
          <a:ext cx="5298310" cy="593239"/>
        </a:xfrm>
        <a:prstGeom prst="rect">
          <a:avLst/>
        </a:prstGeom>
        <a:noFill/>
      </xdr:spPr>
      <xdr:txBody>
        <a:bodyPr wrap="none" lIns="91440" tIns="45720" rIns="91440" bIns="45720">
          <a:spAutoFit/>
        </a:bodyPr>
        <a:lstStyle/>
        <a:p>
          <a:pPr lvl="1" algn="ctr"/>
          <a:r>
            <a:rPr lang="en-US" sz="1600" b="1" cap="none" spc="0">
              <a:ln w="10541" cmpd="sng">
                <a:solidFill>
                  <a:schemeClr val="accent1">
                    <a:shade val="88000"/>
                    <a:satMod val="110000"/>
                  </a:schemeClr>
                </a:solidFill>
                <a:prstDash val="solid"/>
              </a:ln>
              <a:solidFill>
                <a:schemeClr val="tx1"/>
              </a:solidFill>
              <a:effectLst/>
            </a:rPr>
            <a:t>UPGRADE</a:t>
          </a:r>
          <a:r>
            <a:rPr lang="en-US" sz="1600" b="1" cap="none" spc="0" baseline="0">
              <a:ln w="10541" cmpd="sng">
                <a:solidFill>
                  <a:schemeClr val="accent1">
                    <a:shade val="88000"/>
                    <a:satMod val="110000"/>
                  </a:schemeClr>
                </a:solidFill>
                <a:prstDash val="solid"/>
              </a:ln>
              <a:solidFill>
                <a:schemeClr val="tx1"/>
              </a:solidFill>
              <a:effectLst/>
            </a:rPr>
            <a:t> YOUR BUSINESS WITH AUTOMATIC INVOICE</a:t>
          </a:r>
        </a:p>
        <a:p>
          <a:pPr algn="ctr"/>
          <a:r>
            <a:rPr lang="en-US" sz="1600" b="1" cap="none" spc="0" baseline="0">
              <a:ln w="10541" cmpd="sng">
                <a:solidFill>
                  <a:schemeClr val="accent1">
                    <a:shade val="88000"/>
                    <a:satMod val="110000"/>
                  </a:schemeClr>
                </a:solidFill>
                <a:prstDash val="solid"/>
              </a:ln>
              <a:solidFill>
                <a:schemeClr val="tx1"/>
              </a:solidFill>
              <a:effectLst/>
            </a:rPr>
            <a:t> AND SALES INFORMATION REPORT</a:t>
          </a:r>
          <a:endParaRPr lang="en-US" sz="1600" b="1" cap="none" spc="0">
            <a:ln w="10541" cmpd="sng">
              <a:solidFill>
                <a:schemeClr val="accent1">
                  <a:shade val="88000"/>
                  <a:satMod val="110000"/>
                </a:schemeClr>
              </a:solidFill>
              <a:prstDash val="solid"/>
            </a:ln>
            <a:solidFill>
              <a:schemeClr val="tx1"/>
            </a:solidFill>
            <a:effectLst/>
          </a:endParaRPr>
        </a:p>
      </xdr:txBody>
    </xdr:sp>
    <xdr:clientData/>
  </xdr:oneCellAnchor>
</xdr:wsDr>
</file>

<file path=xl/tables/table1.xml><?xml version="1.0" encoding="utf-8"?>
<table xmlns="http://schemas.openxmlformats.org/spreadsheetml/2006/main" id="1" name="Table1" displayName="Table1" ref="A1:E786" totalsRowShown="0" headerRowDxfId="12" dataDxfId="11">
  <autoFilter ref="A1:E786"/>
  <tableColumns count="5">
    <tableColumn id="1" name="lookup.No" dataDxfId="10">
      <calculatedColumnFormula>IF(ISNUMBER(SEARCH(My_Sheet!$B$8,B2)),MAX($A$1:A1)+1,0)</calculatedColumnFormula>
    </tableColumn>
    <tableColumn id="2" name="Name" dataDxfId="9"/>
    <tableColumn id="3" name="Address" dataDxfId="8"/>
    <tableColumn id="4" name="CONTACT NUMBER" dataDxfId="7"/>
    <tableColumn id="5" name="GST NO" dataDxfId="6"/>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D99" totalsRowShown="0" headerRowDxfId="5" dataDxfId="4">
  <autoFilter ref="A1:D99"/>
  <tableColumns count="4">
    <tableColumn id="1" name="S.NO" dataDxfId="3">
      <calculatedColumnFormula>IF(ISNUMBER(SEARCH(My_Sheet!$B$14,B2)),MAX($A$1:A1)+1,0)</calculatedColumnFormula>
    </tableColumn>
    <tableColumn id="2" name="PRODUCT" dataDxfId="2"/>
    <tableColumn id="3" name="HSNCODE" dataDxfId="1"/>
    <tableColumn id="4" name="RA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pageSetUpPr fitToPage="1"/>
  </sheetPr>
  <dimension ref="A1:O42"/>
  <sheetViews>
    <sheetView showZeros="0" tabSelected="1" showWhiteSpace="0" topLeftCell="A21" zoomScale="120" zoomScaleNormal="120" zoomScalePageLayoutView="106" workbookViewId="0">
      <selection activeCell="D17" sqref="D17"/>
    </sheetView>
  </sheetViews>
  <sheetFormatPr defaultRowHeight="15"/>
  <cols>
    <col min="1" max="1" width="7.5703125" style="6" customWidth="1"/>
    <col min="2" max="2" width="44.5703125" style="6" customWidth="1"/>
    <col min="3" max="3" width="11.42578125" style="6" customWidth="1"/>
    <col min="4" max="4" width="10" style="6" customWidth="1"/>
    <col min="5" max="5" width="13.5703125" style="6" customWidth="1"/>
    <col min="6" max="6" width="16.28515625" style="6" customWidth="1"/>
    <col min="7" max="7" width="9.140625" style="6" hidden="1" customWidth="1"/>
    <col min="8" max="9" width="13.140625" style="6" customWidth="1"/>
    <col min="10" max="16384" width="9.140625" style="6"/>
  </cols>
  <sheetData>
    <row r="1" spans="1:15" ht="20.25" customHeight="1">
      <c r="A1" s="168" t="s">
        <v>23</v>
      </c>
      <c r="B1" s="169"/>
      <c r="C1" s="169"/>
      <c r="D1" s="169"/>
      <c r="E1" s="169"/>
      <c r="F1" s="170"/>
    </row>
    <row r="2" spans="1:15" ht="30.75" customHeight="1">
      <c r="A2" s="47"/>
      <c r="B2" s="188" t="s">
        <v>52</v>
      </c>
      <c r="C2" s="188"/>
      <c r="D2" s="188"/>
      <c r="E2" s="188"/>
      <c r="F2" s="48"/>
      <c r="H2" s="7"/>
      <c r="I2" s="7"/>
      <c r="J2" s="7"/>
      <c r="K2" s="7"/>
      <c r="L2" s="7"/>
      <c r="M2" s="7"/>
      <c r="N2" s="7"/>
      <c r="O2" s="7"/>
    </row>
    <row r="3" spans="1:15" ht="14.25" customHeight="1">
      <c r="A3" s="49"/>
      <c r="B3" s="122" t="s">
        <v>53</v>
      </c>
      <c r="C3" s="122"/>
      <c r="D3" s="122"/>
      <c r="E3" s="122"/>
      <c r="F3" s="50"/>
      <c r="H3" s="7"/>
      <c r="I3" s="7"/>
      <c r="J3" s="7"/>
      <c r="K3" s="7"/>
      <c r="L3" s="7"/>
      <c r="M3" s="7"/>
      <c r="N3" s="7"/>
      <c r="O3" s="7"/>
    </row>
    <row r="4" spans="1:15" ht="13.5" customHeight="1">
      <c r="A4" s="49"/>
      <c r="B4" s="122" t="s">
        <v>54</v>
      </c>
      <c r="C4" s="122"/>
      <c r="D4" s="122"/>
      <c r="E4" s="122"/>
      <c r="F4" s="50"/>
      <c r="H4" s="7"/>
      <c r="I4" s="7"/>
      <c r="J4" s="7"/>
      <c r="K4" s="7"/>
      <c r="L4" s="7"/>
      <c r="M4" s="7"/>
      <c r="N4" s="7"/>
      <c r="O4" s="7"/>
    </row>
    <row r="5" spans="1:15" ht="15" customHeight="1">
      <c r="A5" s="49"/>
      <c r="B5" s="122" t="s">
        <v>55</v>
      </c>
      <c r="C5" s="122"/>
      <c r="D5" s="122"/>
      <c r="E5" s="122"/>
      <c r="F5" s="55"/>
      <c r="H5" s="7"/>
      <c r="I5" s="7"/>
      <c r="J5" s="7"/>
      <c r="K5" s="7"/>
      <c r="L5" s="7"/>
      <c r="M5" s="7"/>
      <c r="N5" s="7"/>
      <c r="O5" s="7"/>
    </row>
    <row r="6" spans="1:15" ht="15" customHeight="1">
      <c r="A6" s="49"/>
      <c r="B6" s="122" t="s">
        <v>56</v>
      </c>
      <c r="C6" s="122"/>
      <c r="D6" s="122"/>
      <c r="E6" s="122"/>
      <c r="F6" s="50"/>
      <c r="H6" s="7"/>
      <c r="I6" s="7"/>
      <c r="J6" s="7"/>
      <c r="K6" s="7"/>
      <c r="L6" s="7"/>
      <c r="M6" s="7"/>
      <c r="N6" s="7"/>
      <c r="O6" s="7"/>
    </row>
    <row r="7" spans="1:15" ht="15.75" customHeight="1">
      <c r="A7" s="53"/>
      <c r="B7" s="166" t="s">
        <v>57</v>
      </c>
      <c r="C7" s="166"/>
      <c r="D7" s="166"/>
      <c r="E7" s="166"/>
      <c r="F7" s="54"/>
      <c r="H7" s="7"/>
      <c r="I7" s="7"/>
      <c r="J7" s="7"/>
      <c r="K7" s="7"/>
      <c r="L7" s="8"/>
      <c r="M7" s="7"/>
      <c r="N7" s="7"/>
      <c r="O7" s="7"/>
    </row>
    <row r="8" spans="1:15" ht="15.75">
      <c r="A8" s="40" t="s">
        <v>19</v>
      </c>
      <c r="B8" s="9"/>
      <c r="C8" s="177" t="s">
        <v>39</v>
      </c>
      <c r="D8" s="177"/>
      <c r="E8" s="10">
        <v>2</v>
      </c>
      <c r="F8" s="11"/>
      <c r="G8" s="12" t="e">
        <f>LEFT(E8,FIND("/",E8,1)-1)</f>
        <v>#VALUE!</v>
      </c>
      <c r="H8" s="13"/>
      <c r="I8" s="7"/>
      <c r="J8" s="7"/>
      <c r="K8" s="7"/>
      <c r="L8" s="7"/>
      <c r="M8" s="7"/>
      <c r="N8" s="7"/>
      <c r="O8" s="7"/>
    </row>
    <row r="9" spans="1:15" ht="21" customHeight="1">
      <c r="A9" s="41"/>
      <c r="B9" s="155" t="str">
        <f>IFERROR(INDEX(Table1[],MATCH(B8,CUSTOMER,0),3),"")  &amp;  "    " &amp;IFERROR(INDEX(Table1[],MATCH(B8,CUSTOMER,0),4),"")</f>
        <v xml:space="preserve">    </v>
      </c>
      <c r="C9" s="178" t="s">
        <v>40</v>
      </c>
      <c r="D9" s="179"/>
      <c r="E9" s="81">
        <v>23</v>
      </c>
      <c r="F9" s="121"/>
      <c r="H9" s="7"/>
      <c r="I9" s="7"/>
      <c r="J9" s="7"/>
      <c r="K9" s="7"/>
      <c r="L9" s="7"/>
      <c r="M9" s="7"/>
      <c r="N9" s="7"/>
      <c r="O9" s="7"/>
    </row>
    <row r="10" spans="1:15" ht="21" customHeight="1">
      <c r="A10" s="42"/>
      <c r="B10" s="156"/>
      <c r="C10" s="178" t="s">
        <v>41</v>
      </c>
      <c r="D10" s="179"/>
      <c r="E10" s="153"/>
      <c r="F10" s="154"/>
      <c r="H10" s="7"/>
      <c r="I10" s="7"/>
      <c r="J10" s="7"/>
      <c r="K10" s="7"/>
      <c r="L10" s="7"/>
      <c r="M10" s="7"/>
      <c r="N10" s="7"/>
      <c r="O10" s="7"/>
    </row>
    <row r="11" spans="1:15" ht="21" customHeight="1">
      <c r="A11" s="42"/>
      <c r="B11" s="156"/>
      <c r="C11" s="180" t="s">
        <v>42</v>
      </c>
      <c r="D11" s="181"/>
      <c r="E11" s="182"/>
      <c r="F11" s="183"/>
      <c r="H11" s="7"/>
      <c r="I11" s="7"/>
      <c r="J11" s="7"/>
      <c r="K11" s="7"/>
      <c r="L11" s="7"/>
      <c r="M11" s="7"/>
      <c r="N11" s="7"/>
      <c r="O11" s="7"/>
    </row>
    <row r="12" spans="1:15" s="14" customFormat="1" ht="24" customHeight="1">
      <c r="A12" s="43"/>
      <c r="B12" s="44" t="str">
        <f xml:space="preserve"> "P.Gst No:   " &amp;IFERROR(INDEX(Table1[],MATCH(B8,CUSTOMER,0),5),"")</f>
        <v xml:space="preserve">P.Gst No:   </v>
      </c>
      <c r="C12" s="162" t="s">
        <v>43</v>
      </c>
      <c r="D12" s="163"/>
      <c r="E12" s="164"/>
      <c r="F12" s="165"/>
      <c r="H12" s="13"/>
      <c r="I12" s="13"/>
      <c r="J12" s="13"/>
      <c r="K12" s="13"/>
      <c r="L12" s="13"/>
      <c r="M12" s="13"/>
      <c r="N12" s="13"/>
      <c r="O12" s="13"/>
    </row>
    <row r="13" spans="1:15" ht="31.5">
      <c r="A13" s="35" t="s">
        <v>10</v>
      </c>
      <c r="B13" s="35" t="s">
        <v>0</v>
      </c>
      <c r="C13" s="35" t="s">
        <v>1</v>
      </c>
      <c r="D13" s="35" t="s">
        <v>13</v>
      </c>
      <c r="E13" s="36" t="s">
        <v>2</v>
      </c>
      <c r="F13" s="35" t="s">
        <v>3</v>
      </c>
      <c r="H13" s="15"/>
      <c r="I13" s="7"/>
      <c r="J13" s="7"/>
      <c r="K13" s="7"/>
      <c r="L13" s="7"/>
      <c r="M13" s="7"/>
      <c r="N13" s="7"/>
      <c r="O13" s="7"/>
    </row>
    <row r="14" spans="1:15" ht="15.75">
      <c r="A14" s="37" t="str">
        <f>IF(AND(B13&lt;&gt;"",B14&lt;&gt;""),ROW(B13)-12,"")</f>
        <v/>
      </c>
      <c r="B14" s="5"/>
      <c r="C14" s="37" t="str">
        <f>IFERROR(INDEX(Table2[],MATCH(B14,Table2[PRODUCT],0),3),"")</f>
        <v/>
      </c>
      <c r="D14" s="16"/>
      <c r="E14" s="63" t="str">
        <f>IFERROR(INDEX(Table2[],MATCH(B14,Table2[PRODUCT],0),4),"")</f>
        <v/>
      </c>
      <c r="F14" s="38" t="str">
        <f>IFERROR((D14*E14),"")</f>
        <v/>
      </c>
      <c r="G14" s="17"/>
      <c r="H14" s="18"/>
      <c r="I14" s="167" t="s">
        <v>38</v>
      </c>
      <c r="J14" s="167"/>
      <c r="K14" s="167"/>
      <c r="L14" s="167"/>
      <c r="M14" s="167"/>
      <c r="N14" s="167"/>
      <c r="O14" s="7"/>
    </row>
    <row r="15" spans="1:15" ht="15.75">
      <c r="A15" s="37" t="str">
        <f t="shared" ref="A15:A29" si="0">IF(AND(B14&lt;&gt;"",B15&lt;&gt;""),ROW(B14)-12,"")</f>
        <v/>
      </c>
      <c r="B15" s="5"/>
      <c r="C15" s="37" t="str">
        <f>IFERROR(INDEX(Table2[],MATCH(B15,Table2[PRODUCT],0),3),"")</f>
        <v/>
      </c>
      <c r="D15" s="16"/>
      <c r="E15" s="63" t="str">
        <f>IFERROR(INDEX(Table2[],MATCH(B15,Table2[PRODUCT],0),4),"")</f>
        <v/>
      </c>
      <c r="F15" s="38" t="str">
        <f t="shared" ref="F15:F28" si="1">IFERROR((D15*E15),"")</f>
        <v/>
      </c>
      <c r="H15" s="7"/>
      <c r="I15" s="167"/>
      <c r="J15" s="167"/>
      <c r="K15" s="167"/>
      <c r="L15" s="167"/>
      <c r="M15" s="167"/>
      <c r="N15" s="167"/>
      <c r="O15" s="7"/>
    </row>
    <row r="16" spans="1:15" ht="15.75">
      <c r="A16" s="37" t="str">
        <f t="shared" si="0"/>
        <v/>
      </c>
      <c r="B16" s="5"/>
      <c r="C16" s="37" t="str">
        <f>IFERROR(INDEX(Table2[],MATCH(B16,Table2[PRODUCT],0),3),"")</f>
        <v/>
      </c>
      <c r="D16" s="16"/>
      <c r="E16" s="63" t="str">
        <f>IFERROR(INDEX(Table2[],MATCH(B16,Table2[PRODUCT],0),4),"")</f>
        <v/>
      </c>
      <c r="F16" s="38" t="str">
        <f t="shared" si="1"/>
        <v/>
      </c>
      <c r="H16" s="7"/>
      <c r="I16" s="7"/>
      <c r="J16" s="7"/>
      <c r="K16" s="7"/>
      <c r="L16" s="7"/>
      <c r="M16" s="7"/>
      <c r="N16" s="7"/>
      <c r="O16" s="7"/>
    </row>
    <row r="17" spans="1:13" ht="15.75">
      <c r="A17" s="37" t="str">
        <f t="shared" si="0"/>
        <v/>
      </c>
      <c r="B17" s="5"/>
      <c r="C17" s="37" t="str">
        <f>IFERROR(INDEX(Table2[],MATCH(B17,Table2[PRODUCT],0),3),"")</f>
        <v/>
      </c>
      <c r="D17" s="16"/>
      <c r="E17" s="63" t="str">
        <f>IFERROR(INDEX(Table2[],MATCH(B17,Table2[PRODUCT],0),4),"")</f>
        <v/>
      </c>
      <c r="F17" s="38" t="str">
        <f t="shared" si="1"/>
        <v/>
      </c>
    </row>
    <row r="18" spans="1:13" ht="15.75">
      <c r="A18" s="37" t="str">
        <f t="shared" si="0"/>
        <v/>
      </c>
      <c r="B18" s="5"/>
      <c r="C18" s="37" t="str">
        <f>IFERROR(INDEX(Table2[],MATCH(B18,Table2[PRODUCT],0),3),"")</f>
        <v/>
      </c>
      <c r="D18" s="16"/>
      <c r="E18" s="63" t="str">
        <f>IFERROR(INDEX(Table2[],MATCH(B18,Table2[PRODUCT],0),4),"")</f>
        <v/>
      </c>
      <c r="F18" s="38" t="str">
        <f t="shared" si="1"/>
        <v/>
      </c>
    </row>
    <row r="19" spans="1:13" ht="15.75">
      <c r="A19" s="37" t="str">
        <f t="shared" si="0"/>
        <v/>
      </c>
      <c r="B19" s="5"/>
      <c r="C19" s="37" t="str">
        <f>IFERROR(INDEX(Table2[],MATCH(B19,Table2[PRODUCT],0),3),"")</f>
        <v/>
      </c>
      <c r="D19" s="16"/>
      <c r="E19" s="63" t="str">
        <f>IFERROR(INDEX(Table2[],MATCH(B19,Table2[PRODUCT],0),4),"")</f>
        <v/>
      </c>
      <c r="F19" s="38" t="str">
        <f t="shared" si="1"/>
        <v/>
      </c>
      <c r="H19" s="51"/>
      <c r="I19" s="51"/>
      <c r="J19" s="52"/>
      <c r="K19" s="51"/>
      <c r="L19" s="51"/>
      <c r="M19" s="51"/>
    </row>
    <row r="20" spans="1:13" ht="15.75">
      <c r="A20" s="37" t="str">
        <f>IF(AND(B19&lt;&gt;"",B20&lt;&gt;""),ROW(B19)-12,"")</f>
        <v/>
      </c>
      <c r="B20" s="5"/>
      <c r="C20" s="37" t="str">
        <f>IFERROR(INDEX(Table2[],MATCH(B20,Table2[PRODUCT],0),3),"")</f>
        <v/>
      </c>
      <c r="D20" s="16"/>
      <c r="E20" s="63" t="str">
        <f>IFERROR(INDEX(Table2[],MATCH(B20,Table2[PRODUCT],0),4),"")</f>
        <v/>
      </c>
      <c r="F20" s="38" t="str">
        <f t="shared" si="1"/>
        <v/>
      </c>
      <c r="H20" s="51"/>
      <c r="I20" s="51"/>
      <c r="J20" s="123" t="s">
        <v>51</v>
      </c>
      <c r="K20" s="123"/>
      <c r="L20" s="123"/>
      <c r="M20" s="123"/>
    </row>
    <row r="21" spans="1:13" ht="15.75">
      <c r="A21" s="37" t="str">
        <f t="shared" si="0"/>
        <v/>
      </c>
      <c r="B21" s="5"/>
      <c r="C21" s="37" t="str">
        <f>IFERROR(INDEX(Table2[],MATCH(B21,Table2[PRODUCT],0),3),"")</f>
        <v/>
      </c>
      <c r="D21" s="16"/>
      <c r="E21" s="63" t="str">
        <f>IFERROR(INDEX(Table2[],MATCH(B21,Table2[PRODUCT],0),4),"")</f>
        <v/>
      </c>
      <c r="F21" s="38" t="str">
        <f t="shared" si="1"/>
        <v/>
      </c>
      <c r="H21" s="51"/>
      <c r="I21" s="51"/>
      <c r="J21" s="123"/>
      <c r="K21" s="123"/>
      <c r="L21" s="123"/>
      <c r="M21" s="123"/>
    </row>
    <row r="22" spans="1:13" ht="15.75">
      <c r="A22" s="37" t="str">
        <f t="shared" si="0"/>
        <v/>
      </c>
      <c r="B22" s="5"/>
      <c r="C22" s="37" t="str">
        <f>IFERROR(INDEX(Table2[],MATCH(B22,Table2[PRODUCT],0),3),"")</f>
        <v/>
      </c>
      <c r="D22" s="16"/>
      <c r="E22" s="63" t="str">
        <f>IFERROR(INDEX(Table2[],MATCH(B22,Table2[PRODUCT],0),4),"")</f>
        <v/>
      </c>
      <c r="F22" s="38" t="str">
        <f t="shared" si="1"/>
        <v/>
      </c>
      <c r="H22" s="51"/>
      <c r="I22" s="51"/>
      <c r="J22" s="51"/>
      <c r="K22" s="51"/>
      <c r="L22" s="51"/>
      <c r="M22" s="51"/>
    </row>
    <row r="23" spans="1:13" ht="15.75">
      <c r="A23" s="37" t="str">
        <f>IF(AND(B22&lt;&gt;"",B23&lt;&gt;""),ROW(B22)-12,"")</f>
        <v/>
      </c>
      <c r="B23" s="5"/>
      <c r="C23" s="37" t="str">
        <f>IFERROR(INDEX(Table2[],MATCH(B23,Table2[PRODUCT],0),3),"")</f>
        <v/>
      </c>
      <c r="D23" s="16"/>
      <c r="E23" s="63" t="str">
        <f>IFERROR(INDEX(Table2[],MATCH(B23,Table2[PRODUCT],0),4),"")</f>
        <v/>
      </c>
      <c r="F23" s="38" t="str">
        <f t="shared" si="1"/>
        <v/>
      </c>
      <c r="H23" s="56"/>
      <c r="I23" s="56"/>
      <c r="J23" s="56"/>
      <c r="K23" s="56"/>
      <c r="L23" s="57"/>
      <c r="M23" s="56"/>
    </row>
    <row r="24" spans="1:13" ht="15.75">
      <c r="A24" s="37" t="str">
        <f t="shared" si="0"/>
        <v/>
      </c>
      <c r="B24" s="5"/>
      <c r="C24" s="37" t="str">
        <f>IFERROR(INDEX(Table2[],MATCH(B24,Table2[PRODUCT],0),3),"")</f>
        <v/>
      </c>
      <c r="D24" s="16"/>
      <c r="E24" s="63" t="str">
        <f>IFERROR(INDEX(Table2[],MATCH(B24,Table2[PRODUCT],0),4),"")</f>
        <v/>
      </c>
      <c r="F24" s="38" t="str">
        <f t="shared" si="1"/>
        <v/>
      </c>
      <c r="H24" s="56"/>
      <c r="I24" s="56"/>
      <c r="J24" s="190" t="s">
        <v>50</v>
      </c>
      <c r="K24" s="190"/>
      <c r="L24" s="190"/>
      <c r="M24" s="190"/>
    </row>
    <row r="25" spans="1:13" ht="15.75">
      <c r="A25" s="37" t="str">
        <f t="shared" si="0"/>
        <v/>
      </c>
      <c r="B25" s="5"/>
      <c r="C25" s="37" t="str">
        <f>IFERROR(INDEX(Table2[],MATCH(B25,Table2[PRODUCT],0),3),"")</f>
        <v/>
      </c>
      <c r="D25" s="16"/>
      <c r="E25" s="63" t="str">
        <f>IFERROR(INDEX(Table2[],MATCH(B25,Table2[PRODUCT],0),4),"")</f>
        <v/>
      </c>
      <c r="F25" s="38" t="str">
        <f>IFERROR((D25*E25),"")</f>
        <v/>
      </c>
      <c r="H25" s="56"/>
      <c r="I25" s="56"/>
      <c r="J25" s="190"/>
      <c r="K25" s="190"/>
      <c r="L25" s="190"/>
      <c r="M25" s="190"/>
    </row>
    <row r="26" spans="1:13" ht="15.75">
      <c r="A26" s="37" t="str">
        <f t="shared" si="0"/>
        <v/>
      </c>
      <c r="B26" s="5"/>
      <c r="C26" s="37" t="str">
        <f>IFERROR(INDEX(Table2[],MATCH(B26,Table2[PRODUCT],0),3),"")</f>
        <v/>
      </c>
      <c r="D26" s="16"/>
      <c r="E26" s="63" t="str">
        <f>IFERROR(INDEX(Table2[],MATCH(B26,Table2[PRODUCT],0),4),"")</f>
        <v/>
      </c>
      <c r="F26" s="38" t="str">
        <f t="shared" si="1"/>
        <v/>
      </c>
      <c r="H26" s="56"/>
      <c r="I26" s="56"/>
      <c r="J26" s="56"/>
      <c r="K26" s="56"/>
      <c r="L26" s="56"/>
      <c r="M26" s="56"/>
    </row>
    <row r="27" spans="1:13" ht="15.75">
      <c r="A27" s="37" t="str">
        <f t="shared" si="0"/>
        <v/>
      </c>
      <c r="B27" s="5"/>
      <c r="C27" s="37" t="str">
        <f>IFERROR(INDEX(Table2[],MATCH(B27,Table2[PRODUCT],0),3),"")</f>
        <v/>
      </c>
      <c r="D27" s="16"/>
      <c r="E27" s="63" t="str">
        <f>IFERROR(INDEX(Table2[],MATCH(B27,Table2[PRODUCT],0),4),"")</f>
        <v/>
      </c>
      <c r="F27" s="38" t="str">
        <f t="shared" si="1"/>
        <v/>
      </c>
      <c r="H27" s="51"/>
      <c r="I27" s="51"/>
      <c r="J27" s="51"/>
      <c r="K27" s="51"/>
      <c r="L27" s="51"/>
      <c r="M27" s="51"/>
    </row>
    <row r="28" spans="1:13" ht="15.75">
      <c r="A28" s="37" t="str">
        <f t="shared" si="0"/>
        <v/>
      </c>
      <c r="B28" s="5"/>
      <c r="C28" s="37" t="str">
        <f>IFERROR(INDEX(Table2[],MATCH(B28,Table2[PRODUCT],0),3),"")</f>
        <v/>
      </c>
      <c r="D28" s="16"/>
      <c r="E28" s="63" t="str">
        <f>IFERROR(INDEX(Table2[],MATCH(B28,Table2[PRODUCT],0),4),"")</f>
        <v/>
      </c>
      <c r="F28" s="38" t="str">
        <f t="shared" si="1"/>
        <v/>
      </c>
      <c r="H28" s="51"/>
      <c r="I28" s="51"/>
      <c r="J28" s="123" t="s">
        <v>58</v>
      </c>
      <c r="K28" s="189"/>
      <c r="L28" s="189"/>
      <c r="M28" s="189"/>
    </row>
    <row r="29" spans="1:13" ht="15.75">
      <c r="A29" s="37" t="str">
        <f t="shared" si="0"/>
        <v/>
      </c>
      <c r="B29" s="5"/>
      <c r="C29" s="39" t="str">
        <f>IFERROR(INDEX(Table2[],MATCH(B29,Table2[PRODUCT],0),3),"")</f>
        <v/>
      </c>
      <c r="D29" s="16"/>
      <c r="E29" s="64" t="str">
        <f>IFERROR(INDEX(Table2[],MATCH(B29,Table2[PRODUCT],0),4),"")</f>
        <v/>
      </c>
      <c r="F29" s="38" t="str">
        <f>IFERROR((D29*E29),"")</f>
        <v/>
      </c>
      <c r="H29" s="51"/>
      <c r="I29" s="51"/>
      <c r="J29" s="189"/>
      <c r="K29" s="189"/>
      <c r="L29" s="189"/>
      <c r="M29" s="189"/>
    </row>
    <row r="30" spans="1:13" ht="19.5" customHeight="1">
      <c r="A30" s="131" t="s">
        <v>21</v>
      </c>
      <c r="B30" s="132"/>
      <c r="C30" s="19"/>
      <c r="D30" s="184" t="s">
        <v>4</v>
      </c>
      <c r="E30" s="185"/>
      <c r="F30" s="20"/>
      <c r="H30" s="51"/>
      <c r="I30" s="51"/>
      <c r="J30" s="51"/>
      <c r="K30" s="51"/>
      <c r="L30" s="51"/>
      <c r="M30" s="51"/>
    </row>
    <row r="31" spans="1:13" ht="20.25" customHeight="1">
      <c r="A31" s="171" t="s">
        <v>31</v>
      </c>
      <c r="B31" s="172"/>
      <c r="C31" s="173"/>
      <c r="D31" s="186" t="s">
        <v>5</v>
      </c>
      <c r="E31" s="187"/>
      <c r="F31" s="21">
        <f>IFERROR(SUM(F14:F30),"")</f>
        <v>0</v>
      </c>
      <c r="G31" s="22"/>
    </row>
    <row r="32" spans="1:13" ht="19.5" customHeight="1">
      <c r="A32" s="174" t="s">
        <v>32</v>
      </c>
      <c r="B32" s="175"/>
      <c r="C32" s="176"/>
      <c r="D32" s="23" t="s">
        <v>15</v>
      </c>
      <c r="E32" s="25">
        <v>0.09</v>
      </c>
      <c r="F32" s="21">
        <f>IFERROR(IF(E34&lt;&gt;"",(""),(E32*F31)),"")</f>
        <v>0</v>
      </c>
      <c r="G32" s="22"/>
    </row>
    <row r="33" spans="1:10" ht="19.5" customHeight="1">
      <c r="A33" s="133" t="s">
        <v>33</v>
      </c>
      <c r="B33" s="134"/>
      <c r="C33" s="135"/>
      <c r="D33" s="23" t="s">
        <v>16</v>
      </c>
      <c r="E33" s="25">
        <v>0.09</v>
      </c>
      <c r="F33" s="21">
        <f>IFERROR(IF(E34&lt;&gt;"",(""),(E33*F31)),"")</f>
        <v>0</v>
      </c>
      <c r="G33" s="22"/>
      <c r="H33" s="45"/>
      <c r="I33" s="45"/>
      <c r="J33" s="45"/>
    </row>
    <row r="34" spans="1:10" ht="19.5" customHeight="1">
      <c r="A34" s="157"/>
      <c r="B34" s="158"/>
      <c r="C34" s="24"/>
      <c r="D34" s="23" t="s">
        <v>14</v>
      </c>
      <c r="E34" s="25"/>
      <c r="F34" s="21">
        <f>IFERROR((E34*F31),"")</f>
        <v>0</v>
      </c>
      <c r="G34" s="22"/>
      <c r="H34" s="45"/>
      <c r="I34" s="45"/>
      <c r="J34" s="45"/>
    </row>
    <row r="35" spans="1:10" ht="19.5" customHeight="1">
      <c r="A35" s="159">
        <f xml:space="preserve">  rupee(F36)</f>
        <v>0</v>
      </c>
      <c r="B35" s="160"/>
      <c r="C35" s="161"/>
      <c r="D35" s="129" t="s">
        <v>20</v>
      </c>
      <c r="E35" s="130"/>
      <c r="F35" s="21">
        <f>(SUM(F31:F34))-ROUND((SUM(F31:F34)),0)</f>
        <v>0</v>
      </c>
      <c r="G35" s="22"/>
      <c r="H35" s="46"/>
      <c r="I35" s="45"/>
      <c r="J35" s="45"/>
    </row>
    <row r="36" spans="1:10" ht="19.5" customHeight="1">
      <c r="A36" s="26"/>
      <c r="B36" s="27"/>
      <c r="C36" s="28"/>
      <c r="D36" s="127" t="s">
        <v>17</v>
      </c>
      <c r="E36" s="128"/>
      <c r="F36" s="29">
        <f>ROUND((SUM(F31:F34)),0)</f>
        <v>0</v>
      </c>
      <c r="G36" s="22"/>
      <c r="H36" s="46"/>
      <c r="I36" s="45"/>
      <c r="J36" s="45"/>
    </row>
    <row r="37" spans="1:10" ht="19.5" customHeight="1">
      <c r="A37" s="145" t="s">
        <v>22</v>
      </c>
      <c r="B37" s="146"/>
      <c r="C37" s="30"/>
      <c r="D37" s="139" t="s">
        <v>49</v>
      </c>
      <c r="E37" s="140"/>
      <c r="F37" s="141"/>
      <c r="H37" s="124" t="s">
        <v>59</v>
      </c>
      <c r="I37" s="125"/>
      <c r="J37" s="125"/>
    </row>
    <row r="38" spans="1:10" ht="20.25" customHeight="1">
      <c r="A38" s="142" t="s">
        <v>45</v>
      </c>
      <c r="B38" s="143"/>
      <c r="C38" s="31"/>
      <c r="D38" s="32"/>
      <c r="E38" s="7"/>
      <c r="F38" s="33"/>
      <c r="H38" s="125"/>
      <c r="I38" s="125"/>
      <c r="J38" s="125"/>
    </row>
    <row r="39" spans="1:10" ht="13.5" customHeight="1">
      <c r="A39" s="142" t="s">
        <v>46</v>
      </c>
      <c r="B39" s="143"/>
      <c r="C39" s="34"/>
      <c r="D39" s="32"/>
      <c r="E39" s="7"/>
      <c r="F39" s="33"/>
    </row>
    <row r="40" spans="1:10" ht="13.5" customHeight="1">
      <c r="A40" s="144" t="s">
        <v>47</v>
      </c>
      <c r="B40" s="143"/>
      <c r="C40" s="34"/>
      <c r="D40" s="136"/>
      <c r="E40" s="137"/>
      <c r="F40" s="138"/>
    </row>
    <row r="41" spans="1:10" ht="14.25" customHeight="1">
      <c r="A41" s="150" t="s">
        <v>48</v>
      </c>
      <c r="B41" s="151"/>
      <c r="C41" s="152"/>
      <c r="D41" s="147" t="s">
        <v>18</v>
      </c>
      <c r="E41" s="148"/>
      <c r="F41" s="149"/>
    </row>
    <row r="42" spans="1:10">
      <c r="A42" s="126"/>
      <c r="B42" s="126"/>
    </row>
  </sheetData>
  <sheetProtection password="E90E" sheet="1" objects="1" scenarios="1"/>
  <mergeCells count="40">
    <mergeCell ref="I14:N15"/>
    <mergeCell ref="A1:F1"/>
    <mergeCell ref="A31:C31"/>
    <mergeCell ref="A32:C32"/>
    <mergeCell ref="C8:D8"/>
    <mergeCell ref="C9:D9"/>
    <mergeCell ref="C11:D11"/>
    <mergeCell ref="E11:F11"/>
    <mergeCell ref="C10:D10"/>
    <mergeCell ref="D30:E30"/>
    <mergeCell ref="D31:E31"/>
    <mergeCell ref="B3:E3"/>
    <mergeCell ref="B2:E2"/>
    <mergeCell ref="B4:E4"/>
    <mergeCell ref="J28:M29"/>
    <mergeCell ref="J24:M25"/>
    <mergeCell ref="B6:E6"/>
    <mergeCell ref="E10:F10"/>
    <mergeCell ref="B9:B11"/>
    <mergeCell ref="A34:B34"/>
    <mergeCell ref="A35:C35"/>
    <mergeCell ref="C12:D12"/>
    <mergeCell ref="E12:F12"/>
    <mergeCell ref="B7:E7"/>
    <mergeCell ref="B5:E5"/>
    <mergeCell ref="J20:M21"/>
    <mergeCell ref="H37:J38"/>
    <mergeCell ref="A42:B42"/>
    <mergeCell ref="D36:E36"/>
    <mergeCell ref="D35:E35"/>
    <mergeCell ref="A30:B30"/>
    <mergeCell ref="A33:C33"/>
    <mergeCell ref="D40:F40"/>
    <mergeCell ref="D37:F37"/>
    <mergeCell ref="A38:B38"/>
    <mergeCell ref="A39:B39"/>
    <mergeCell ref="A40:B40"/>
    <mergeCell ref="A37:B37"/>
    <mergeCell ref="D41:F41"/>
    <mergeCell ref="A41:C41"/>
  </mergeCells>
  <dataValidations count="2">
    <dataValidation type="list" allowBlank="1" showInputMessage="1" sqref="B8">
      <formula1>customer_easy_list</formula1>
    </dataValidation>
    <dataValidation type="list" allowBlank="1" showInputMessage="1" sqref="B14:B29">
      <formula1>PRODUCTS</formula1>
    </dataValidation>
  </dataValidations>
  <hyperlinks>
    <hyperlink ref="I14:N15" location="'INSTRUCTIONS &amp; DEVELOPER INFO'!A1" display="TAP HERE TO KNOW HOW TO USE"/>
  </hyperlinks>
  <printOptions horizontalCentered="1" verticalCentered="1"/>
  <pageMargins left="0.25" right="0.25" top="0.25" bottom="0.25" header="0" footer="6.4960630000000005E-2"/>
  <pageSetup scale="98" orientation="portrait" horizontalDpi="300" verticalDpi="300" r:id="rId1"/>
  <drawing r:id="rId2"/>
  <legacyDrawing r:id="rId3"/>
  <controls>
    <control shapeId="1082" r:id="rId4" name="CommandButton4"/>
    <control shapeId="1080" r:id="rId5" name="CommandButton2"/>
    <control shapeId="1028" r:id="rId6" name="CommandButton1"/>
    <control shapeId="1081" r:id="rId7" name="CommandButton3"/>
  </controls>
</worksheet>
</file>

<file path=xl/worksheets/sheet2.xml><?xml version="1.0" encoding="utf-8"?>
<worksheet xmlns="http://schemas.openxmlformats.org/spreadsheetml/2006/main" xmlns:r="http://schemas.openxmlformats.org/officeDocument/2006/relationships">
  <sheetPr codeName="Sheet2"/>
  <dimension ref="A1:I786"/>
  <sheetViews>
    <sheetView topLeftCell="A2" workbookViewId="0">
      <selection activeCell="A2" sqref="A2:E786"/>
    </sheetView>
  </sheetViews>
  <sheetFormatPr defaultColWidth="31.140625" defaultRowHeight="18.75"/>
  <cols>
    <col min="1" max="1" width="8.85546875" style="58" bestFit="1" customWidth="1"/>
    <col min="2" max="2" width="30.85546875" style="58" customWidth="1"/>
    <col min="3" max="3" width="57.7109375" style="58" customWidth="1"/>
    <col min="4" max="4" width="25.85546875" style="58" bestFit="1" customWidth="1"/>
    <col min="5" max="5" width="24.7109375" style="58" customWidth="1"/>
    <col min="6" max="16384" width="31.140625" style="58"/>
  </cols>
  <sheetData>
    <row r="1" spans="1:9" ht="37.5">
      <c r="A1" s="58" t="s">
        <v>24</v>
      </c>
      <c r="B1" s="58" t="s">
        <v>9</v>
      </c>
      <c r="C1" s="58" t="s">
        <v>8</v>
      </c>
      <c r="D1" s="58" t="s">
        <v>6</v>
      </c>
      <c r="E1" s="58" t="s">
        <v>7</v>
      </c>
    </row>
    <row r="2" spans="1:9">
      <c r="A2" s="61">
        <f>IF(ISNUMBER(SEARCH(My_Sheet!$B$8,B2)),MAX($A$1:A1)+1,0)</f>
        <v>0</v>
      </c>
      <c r="B2" s="59"/>
      <c r="F2" s="62"/>
      <c r="G2" s="62" t="str">
        <f>IFERROR(VLOOKUP(ROWS($G$2:G2),$A$2:$B$1048576,2,0),"")</f>
        <v>AARTHI INDUSTRIES</v>
      </c>
      <c r="H2" s="62" t="str">
        <f ca="1">IFERROR(OFFSET($G$2,,,COUNTIF($G$2:$G$1048576,"?*")),"")</f>
        <v>AARTHI INDUSTRIES</v>
      </c>
      <c r="I2" s="62"/>
    </row>
    <row r="3" spans="1:9">
      <c r="A3" s="61">
        <f>IF(ISNUMBER(SEARCH(My_Sheet!$B$8,B3)),MAX($A$1:A2)+1,0)</f>
        <v>0</v>
      </c>
      <c r="F3" s="62"/>
      <c r="G3" s="62" t="str">
        <f>IFERROR(VLOOKUP(ROWS($G$2:G3),$A$2:$B$1642,2,0),"")</f>
        <v>ALKEM LABORATORIES LTD.</v>
      </c>
      <c r="H3" s="62"/>
      <c r="I3" s="62"/>
    </row>
    <row r="4" spans="1:9">
      <c r="A4" s="61">
        <f>IF(ISNUMBER(SEARCH(My_Sheet!$B$8,B4)),MAX($A$1:A3)+1,0)</f>
        <v>0</v>
      </c>
      <c r="F4" s="62"/>
      <c r="G4" s="62" t="str">
        <f>IFERROR(VLOOKUP(ROWS($G$2:G4),$A$2:$B$1642,2,0),"")</f>
        <v xml:space="preserve">APEX SERVICE AND INSTRUMENTS </v>
      </c>
      <c r="H4" s="62"/>
      <c r="I4" s="62"/>
    </row>
    <row r="5" spans="1:9">
      <c r="A5" s="61">
        <f>IF(ISNUMBER(SEARCH(My_Sheet!$B$8,B5)),MAX($A$1:A4)+1,0)</f>
        <v>0</v>
      </c>
      <c r="F5" s="62"/>
      <c r="G5" s="62" t="str">
        <f>IFERROR(VLOOKUP(ROWS($G$2:G5),$A$2:$B$1642,2,0),"")</f>
        <v>AUROFOOD PRIVATE LIMITED</v>
      </c>
      <c r="H5" s="62"/>
      <c r="I5" s="62"/>
    </row>
    <row r="6" spans="1:9">
      <c r="A6" s="61">
        <f>IF(ISNUMBER(SEARCH(My_Sheet!$B$8,B6)),MAX($A$1:A5)+1,0)</f>
        <v>0</v>
      </c>
      <c r="F6" s="62"/>
      <c r="G6" s="62" t="str">
        <f>IFERROR(VLOOKUP(ROWS($G$2:G6),$A$2:$B$1642,2,0),"")</f>
        <v>ARO-SAK PLASTICS &amp; ASSEMBLIES Pvt LTD.</v>
      </c>
      <c r="H6" s="62"/>
      <c r="I6" s="62"/>
    </row>
    <row r="7" spans="1:9" ht="75">
      <c r="A7" s="61">
        <f>IF(ISNUMBER(SEARCH(My_Sheet!$B$8,B7)),MAX($A$1:A6)+1,0)</f>
        <v>1</v>
      </c>
      <c r="B7" s="97" t="s">
        <v>60</v>
      </c>
      <c r="C7" s="98" t="s">
        <v>139</v>
      </c>
      <c r="E7" s="98" t="s">
        <v>61</v>
      </c>
      <c r="F7" s="62"/>
      <c r="G7" s="62" t="str">
        <f>IFERROR(VLOOKUP(ROWS($G$2:G7),$A$2:$B$1642,2,0),"")</f>
        <v>AEROSPACE  ENGINEERS PVT LTD.</v>
      </c>
      <c r="H7" s="62"/>
      <c r="I7" s="62"/>
    </row>
    <row r="8" spans="1:9" ht="56.25">
      <c r="A8" s="61">
        <f>IF(ISNUMBER(SEARCH(My_Sheet!$B$8,B8)),MAX($A$1:A7)+1,0)</f>
        <v>2</v>
      </c>
      <c r="B8" s="99" t="s">
        <v>183</v>
      </c>
      <c r="C8" s="100" t="s">
        <v>140</v>
      </c>
      <c r="D8" s="60"/>
      <c r="E8" s="100" t="s">
        <v>62</v>
      </c>
      <c r="F8" s="62"/>
      <c r="G8" s="62" t="str">
        <f>IFERROR(VLOOKUP(ROWS($G$2:G8),$A$2:$B$1642,2,0),"")</f>
        <v>ARTURA PHARMACEUTICALS PVT LIMITED</v>
      </c>
      <c r="H8" s="62"/>
      <c r="I8" s="62"/>
    </row>
    <row r="9" spans="1:9" ht="56.25">
      <c r="A9" s="61">
        <f>IF(ISNUMBER(SEARCH(My_Sheet!$B$8,B9)),MAX($A$1:A8)+1,0)</f>
        <v>3</v>
      </c>
      <c r="B9" s="101" t="s">
        <v>63</v>
      </c>
      <c r="C9" s="102" t="s">
        <v>184</v>
      </c>
      <c r="E9" s="100" t="s">
        <v>64</v>
      </c>
      <c r="F9" s="62"/>
      <c r="G9" s="62" t="str">
        <f>IFERROR(VLOOKUP(ROWS($G$2:G9),$A$2:$B$1642,2,0),"")</f>
        <v>AXON DRUGS PRIVATE LIMITED</v>
      </c>
      <c r="H9" s="62"/>
      <c r="I9" s="62"/>
    </row>
    <row r="10" spans="1:9" ht="56.25">
      <c r="A10" s="61">
        <f>IF(ISNUMBER(SEARCH(My_Sheet!$B$8,B10)),MAX($A$1:A9)+1,0)</f>
        <v>4</v>
      </c>
      <c r="B10" s="99" t="s">
        <v>65</v>
      </c>
      <c r="C10" s="100" t="s">
        <v>141</v>
      </c>
      <c r="D10" s="60"/>
      <c r="E10" s="100" t="s">
        <v>66</v>
      </c>
      <c r="F10" s="62"/>
      <c r="G10" s="62" t="str">
        <f>IFERROR(VLOOKUP(ROWS($G$2:G10),$A$2:$B$1642,2,0),"")</f>
        <v>AUSTRALIAN FOODS INDIA LTD.</v>
      </c>
      <c r="H10" s="62"/>
      <c r="I10" s="62"/>
    </row>
    <row r="11" spans="1:9" ht="37.5">
      <c r="A11" s="61">
        <f>IF(ISNUMBER(SEARCH(My_Sheet!$B$8,B11)),MAX($A$1:A10)+1,0)</f>
        <v>5</v>
      </c>
      <c r="B11" s="99" t="s">
        <v>182</v>
      </c>
      <c r="C11" s="102" t="s">
        <v>185</v>
      </c>
      <c r="E11" s="100" t="s">
        <v>67</v>
      </c>
      <c r="F11" s="62"/>
      <c r="G11" s="62" t="str">
        <f>IFERROR(VLOOKUP(ROWS($G$2:G11),$A$2:$B$1642,2,0),"")</f>
        <v>CATAPHORETIC TECHNOLOGIES</v>
      </c>
      <c r="H11" s="62"/>
      <c r="I11" s="62"/>
    </row>
    <row r="12" spans="1:9" ht="37.5">
      <c r="A12" s="61">
        <f>IF(ISNUMBER(SEARCH(My_Sheet!$B$8,B12)),MAX($A$1:A11)+1,0)</f>
        <v>6</v>
      </c>
      <c r="B12" s="99" t="s">
        <v>68</v>
      </c>
      <c r="C12" s="100" t="s">
        <v>142</v>
      </c>
      <c r="D12" s="60"/>
      <c r="E12" s="100" t="s">
        <v>69</v>
      </c>
      <c r="F12" s="62"/>
      <c r="G12" s="62" t="str">
        <f>IFERROR(VLOOKUP(ROWS($G$2:G12),$A$2:$B$1642,2,0),"")</f>
        <v>CALVALUE TECHNO SERVICES (OPC) Pvt LTD.</v>
      </c>
      <c r="H12" s="62"/>
      <c r="I12" s="62"/>
    </row>
    <row r="13" spans="1:9" ht="56.25">
      <c r="A13" s="61">
        <f>IF(ISNUMBER(SEARCH(My_Sheet!$B$8,B13)),MAX($A$1:A12)+1,0)</f>
        <v>7</v>
      </c>
      <c r="B13" s="97" t="s">
        <v>70</v>
      </c>
      <c r="C13" s="98" t="s">
        <v>143</v>
      </c>
      <c r="D13" s="60"/>
      <c r="E13" s="100" t="s">
        <v>71</v>
      </c>
      <c r="F13" s="62"/>
      <c r="G13" s="62" t="str">
        <f>IFERROR(VLOOKUP(ROWS($G$2:G13),$A$2:$B$1642,2,0),"")</f>
        <v>DIAMOND CASTINGS (P) LTD.</v>
      </c>
      <c r="H13" s="62"/>
      <c r="I13" s="62"/>
    </row>
    <row r="14" spans="1:9" ht="56.25">
      <c r="A14" s="61">
        <f>IF(ISNUMBER(SEARCH(My_Sheet!$B$8,B14)),MAX($A$1:A13)+1,0)</f>
        <v>8</v>
      </c>
      <c r="B14" s="103" t="s">
        <v>72</v>
      </c>
      <c r="C14" s="104" t="s">
        <v>144</v>
      </c>
      <c r="D14" s="60"/>
      <c r="E14" s="104" t="s">
        <v>73</v>
      </c>
      <c r="F14" s="62"/>
      <c r="G14" s="62" t="str">
        <f>IFERROR(VLOOKUP(ROWS($G$2:G14),$A$2:$B$1642,2,0),"")</f>
        <v>ESAB INDIA LIMITED - EQUIPMENT DIV</v>
      </c>
      <c r="H14" s="62"/>
      <c r="I14" s="62"/>
    </row>
    <row r="15" spans="1:9" ht="37.5">
      <c r="A15" s="61">
        <f>IF(ISNUMBER(SEARCH(My_Sheet!$B$8,B15)),MAX($A$1:A14)+1,0)</f>
        <v>9</v>
      </c>
      <c r="B15" s="103" t="s">
        <v>181</v>
      </c>
      <c r="C15" s="105" t="s">
        <v>145</v>
      </c>
      <c r="E15" s="104" t="s">
        <v>74</v>
      </c>
      <c r="F15" s="62"/>
      <c r="G15" s="62" t="str">
        <f>IFERROR(VLOOKUP(ROWS($G$2:G15),$A$2:$B$1642,2,0),"")</f>
        <v>Five star Microbase Coating (India) Pvt Ltd</v>
      </c>
      <c r="H15" s="62"/>
      <c r="I15" s="62"/>
    </row>
    <row r="16" spans="1:9" ht="56.25">
      <c r="A16" s="61">
        <f>IF(ISNUMBER(SEARCH(My_Sheet!$B$8,B16)),MAX($A$1:A15)+1,0)</f>
        <v>10</v>
      </c>
      <c r="B16" s="103" t="s">
        <v>75</v>
      </c>
      <c r="C16" s="106" t="s">
        <v>146</v>
      </c>
      <c r="D16" s="60"/>
      <c r="E16" s="104" t="s">
        <v>76</v>
      </c>
      <c r="F16" s="62"/>
      <c r="G16" s="62" t="str">
        <f>IFERROR(VLOOKUP(ROWS($G$2:G16),$A$2:$B$1642,2,0),"")</f>
        <v>HINDUSTAN COLAS PRIVATE LIMITED</v>
      </c>
      <c r="H16" s="62"/>
      <c r="I16" s="62"/>
    </row>
    <row r="17" spans="1:9" ht="56.25">
      <c r="A17" s="61">
        <f>IF(ISNUMBER(SEARCH(My_Sheet!$B$8,B17)),MAX($A$1:A16)+1,0)</f>
        <v>11</v>
      </c>
      <c r="B17" s="107" t="s">
        <v>149</v>
      </c>
      <c r="C17" s="106" t="s">
        <v>147</v>
      </c>
      <c r="D17" s="60"/>
      <c r="E17" s="104" t="s">
        <v>77</v>
      </c>
      <c r="F17" s="62"/>
      <c r="G17" s="62" t="str">
        <f>IFERROR(VLOOKUP(ROWS($G$2:G17),$A$2:$B$1642,2,0),"")</f>
        <v>INDIAN INSTITUETE OF PACKAGING</v>
      </c>
      <c r="H17" s="62"/>
      <c r="I17" s="62"/>
    </row>
    <row r="18" spans="1:9" ht="37.5">
      <c r="A18" s="61">
        <f>IF(ISNUMBER(SEARCH(My_Sheet!$B$8,B18)),MAX($A$1:A17)+1,0)</f>
        <v>12</v>
      </c>
      <c r="B18" s="99" t="s">
        <v>78</v>
      </c>
      <c r="C18" s="100" t="s">
        <v>148</v>
      </c>
      <c r="D18" s="60"/>
      <c r="E18" s="100" t="s">
        <v>79</v>
      </c>
      <c r="F18" s="62"/>
      <c r="G18" s="62" t="str">
        <f>IFERROR(VLOOKUP(ROWS($G$2:G18),$A$2:$B$1642,2,0),"")</f>
        <v>JPS TECHNOLOGIES</v>
      </c>
      <c r="H18" s="62"/>
      <c r="I18" s="62"/>
    </row>
    <row r="19" spans="1:9" ht="75">
      <c r="A19" s="61">
        <f>IF(ISNUMBER(SEARCH(My_Sheet!$B$8,B19)),MAX($A$1:A18)+1,0)</f>
        <v>13</v>
      </c>
      <c r="B19" s="103" t="s">
        <v>80</v>
      </c>
      <c r="C19" s="104" t="s">
        <v>305</v>
      </c>
      <c r="D19" s="60"/>
      <c r="E19" s="104" t="s">
        <v>81</v>
      </c>
      <c r="F19" s="62"/>
      <c r="G19" s="62" t="str">
        <f>IFERROR(VLOOKUP(ROWS($G$2:G19),$A$2:$B$1642,2,0),"")</f>
        <v>KIRAN GLOBAL CHEM LTD.</v>
      </c>
      <c r="H19" s="62"/>
      <c r="I19" s="62"/>
    </row>
    <row r="20" spans="1:9" ht="56.25">
      <c r="A20" s="61">
        <f>IF(ISNUMBER(SEARCH(My_Sheet!$B$8,B20)),MAX($A$1:A19)+1,0)</f>
        <v>14</v>
      </c>
      <c r="B20" s="99" t="s">
        <v>82</v>
      </c>
      <c r="C20" s="98" t="s">
        <v>150</v>
      </c>
      <c r="D20" s="60"/>
      <c r="E20" s="100" t="s">
        <v>83</v>
      </c>
      <c r="F20" s="62"/>
      <c r="G20" s="62" t="str">
        <f>IFERROR(VLOOKUP(ROWS($G$2:G20),$A$2:$B$1642,2,0),"")</f>
        <v>K.V. MARINE EXPORTS.</v>
      </c>
      <c r="H20" s="62"/>
      <c r="I20" s="62"/>
    </row>
    <row r="21" spans="1:9" ht="37.5">
      <c r="A21" s="61">
        <f>IF(ISNUMBER(SEARCH(My_Sheet!$B$8,B21)),MAX($A$1:A20)+1,0)</f>
        <v>15</v>
      </c>
      <c r="B21" s="99" t="s">
        <v>84</v>
      </c>
      <c r="C21" s="100" t="s">
        <v>151</v>
      </c>
      <c r="D21" s="60"/>
      <c r="E21" s="100" t="s">
        <v>85</v>
      </c>
      <c r="F21" s="62"/>
      <c r="G21" s="62" t="str">
        <f>IFERROR(VLOOKUP(ROWS($G$2:G21),$A$2:$B$1642,2,0),"")</f>
        <v xml:space="preserve">KRISHNA SCIENTIFIC SUPPLIERS </v>
      </c>
      <c r="H21" s="62"/>
      <c r="I21" s="62"/>
    </row>
    <row r="22" spans="1:9" ht="37.5">
      <c r="A22" s="61">
        <f>IF(ISNUMBER(SEARCH(My_Sheet!$B$8,B22)),MAX($A$1:A21)+1,0)</f>
        <v>16</v>
      </c>
      <c r="B22" s="99" t="s">
        <v>87</v>
      </c>
      <c r="C22" s="100" t="s">
        <v>186</v>
      </c>
      <c r="D22" s="60"/>
      <c r="E22" s="100" t="s">
        <v>86</v>
      </c>
      <c r="F22" s="62"/>
      <c r="G22" s="62" t="str">
        <f>IFERROR(VLOOKUP(ROWS($G$2:G22),$A$2:$B$1642,2,0),"")</f>
        <v>KUTTY ELECTRICALS</v>
      </c>
      <c r="H22" s="62"/>
      <c r="I22" s="62"/>
    </row>
    <row r="23" spans="1:9" ht="56.25">
      <c r="A23" s="61">
        <f>IF(ISNUMBER(SEARCH(My_Sheet!$B$8,B23)),MAX($A$1:A22)+1,0)</f>
        <v>17</v>
      </c>
      <c r="B23" s="108" t="s">
        <v>88</v>
      </c>
      <c r="C23" s="105" t="s">
        <v>187</v>
      </c>
      <c r="D23" s="60"/>
      <c r="E23" s="104" t="s">
        <v>89</v>
      </c>
      <c r="F23" s="62"/>
      <c r="G23" s="62" t="str">
        <f>IFERROR(VLOOKUP(ROWS($G$2:G23),$A$2:$B$1642,2,0),"")</f>
        <v>M.S.S. SILKS &amp; HEATERS</v>
      </c>
      <c r="H23" s="62"/>
      <c r="I23" s="62"/>
    </row>
    <row r="24" spans="1:9" ht="37.5">
      <c r="A24" s="61">
        <f>IF(ISNUMBER(SEARCH(My_Sheet!$B$8,B24)),MAX($A$1:A23)+1,0)</f>
        <v>18</v>
      </c>
      <c r="B24" s="103" t="s">
        <v>180</v>
      </c>
      <c r="C24" s="104" t="s">
        <v>152</v>
      </c>
      <c r="D24" s="60"/>
      <c r="E24" s="104" t="s">
        <v>90</v>
      </c>
      <c r="F24" s="62"/>
      <c r="G24" s="62" t="str">
        <f>IFERROR(VLOOKUP(ROWS($G$2:G24),$A$2:$B$1642,2,0),"")</f>
        <v>MODERN BAKERS MADRAS PVT. LTD.</v>
      </c>
      <c r="H24" s="62"/>
      <c r="I24" s="62"/>
    </row>
    <row r="25" spans="1:9" ht="37.5">
      <c r="A25" s="61">
        <f>IF(ISNUMBER(SEARCH(My_Sheet!$B$8,B25)),MAX($A$1:A24)+1,0)</f>
        <v>19</v>
      </c>
      <c r="B25" s="99" t="s">
        <v>91</v>
      </c>
      <c r="C25" s="100" t="s">
        <v>153</v>
      </c>
      <c r="D25" s="60"/>
      <c r="E25" s="100" t="s">
        <v>92</v>
      </c>
      <c r="F25" s="62"/>
      <c r="G25" s="62" t="str">
        <f>IFERROR(VLOOKUP(ROWS($G$2:G25),$A$2:$B$1642,2,0),"")</f>
        <v>MONORCH SCIENTIFIC WORKS</v>
      </c>
      <c r="H25" s="62"/>
      <c r="I25" s="62"/>
    </row>
    <row r="26" spans="1:9" ht="37.5">
      <c r="A26" s="61">
        <f>IF(ISNUMBER(SEARCH(My_Sheet!$B$8,B26)),MAX($A$1:A25)+1,0)</f>
        <v>20</v>
      </c>
      <c r="B26" s="101" t="s">
        <v>93</v>
      </c>
      <c r="C26" s="100" t="s">
        <v>188</v>
      </c>
      <c r="E26" s="100" t="s">
        <v>94</v>
      </c>
      <c r="F26" s="62"/>
      <c r="G26" s="62" t="str">
        <f>IFERROR(VLOOKUP(ROWS($G$2:G26),$A$2:$B$1642,2,0),"")</f>
        <v>PROMPTEKK METAL ALLOYS &amp; REFIN. CORPN.</v>
      </c>
      <c r="H26" s="62"/>
      <c r="I26" s="62"/>
    </row>
    <row r="27" spans="1:9" ht="37.5">
      <c r="A27" s="61">
        <f>IF(ISNUMBER(SEARCH(My_Sheet!$B$8,B27)),MAX($A$1:A26)+1,0)</f>
        <v>21</v>
      </c>
      <c r="B27" s="107" t="s">
        <v>95</v>
      </c>
      <c r="C27" s="106" t="s">
        <v>154</v>
      </c>
      <c r="E27" s="104" t="s">
        <v>96</v>
      </c>
      <c r="F27" s="62"/>
      <c r="G27" s="62" t="str">
        <f>IFERROR(VLOOKUP(ROWS($G$2:G27),$A$2:$B$1642,2,0),"")</f>
        <v>PUNCH RATNA FASTENERS PVT LTD, Unit - II</v>
      </c>
      <c r="H27" s="62"/>
      <c r="I27" s="62"/>
    </row>
    <row r="28" spans="1:9" ht="56.25">
      <c r="A28" s="61">
        <f>IF(ISNUMBER(SEARCH(My_Sheet!$B$8,B28)),MAX($A$1:A27)+1,0)</f>
        <v>22</v>
      </c>
      <c r="B28" s="99" t="s">
        <v>97</v>
      </c>
      <c r="C28" s="98" t="s">
        <v>155</v>
      </c>
      <c r="E28" s="100" t="s">
        <v>98</v>
      </c>
      <c r="F28" s="62"/>
      <c r="G28" s="62" t="str">
        <f>IFERROR(VLOOKUP(ROWS($G$2:G28),$A$2:$B$1642,2,0),"")</f>
        <v>SRI BALAJI ASSEMBLIES &amp; PLASTICS PVT LTD.</v>
      </c>
      <c r="H28" s="62"/>
      <c r="I28" s="62"/>
    </row>
    <row r="29" spans="1:9" ht="37.5">
      <c r="A29" s="61">
        <f>IF(ISNUMBER(SEARCH(My_Sheet!$B$8,B29)),MAX($A$1:A28)+1,0)</f>
        <v>23</v>
      </c>
      <c r="B29" s="99" t="s">
        <v>179</v>
      </c>
      <c r="C29" s="100" t="s">
        <v>156</v>
      </c>
      <c r="E29" s="100" t="s">
        <v>99</v>
      </c>
      <c r="F29" s="62"/>
      <c r="G29" s="62" t="str">
        <f>IFERROR(VLOOKUP(ROWS($G$2:G29),$A$2:$B$1642,2,0),"")</f>
        <v>SRI BALAJI ASSEMBLIES &amp; PLASTICS PVT LTD - Unit-II</v>
      </c>
      <c r="H29" s="62"/>
      <c r="I29" s="62"/>
    </row>
    <row r="30" spans="1:9" ht="37.5">
      <c r="A30" s="61">
        <f>IF(ISNUMBER(SEARCH(My_Sheet!$B$8,B30)),MAX($A$1:A29)+1,0)</f>
        <v>24</v>
      </c>
      <c r="B30" s="101" t="s">
        <v>100</v>
      </c>
      <c r="C30" s="100" t="s">
        <v>157</v>
      </c>
      <c r="E30" s="100" t="s">
        <v>101</v>
      </c>
      <c r="F30" s="62"/>
      <c r="G30" s="62" t="str">
        <f>IFERROR(VLOOKUP(ROWS($G$2:G30),$A$2:$B$1642,2,0),"")</f>
        <v>SRI BALAJI ASSEMBLIES &amp; PLASTICS PVT LTD - Unit IV</v>
      </c>
      <c r="H30" s="62"/>
      <c r="I30" s="62"/>
    </row>
    <row r="31" spans="1:9" ht="37.5">
      <c r="A31" s="61">
        <f>IF(ISNUMBER(SEARCH(My_Sheet!$B$8,B31)),MAX($A$1:A30)+1,0)</f>
        <v>25</v>
      </c>
      <c r="B31" s="99" t="s">
        <v>306</v>
      </c>
      <c r="C31" s="100" t="s">
        <v>158</v>
      </c>
      <c r="E31" s="100" t="s">
        <v>102</v>
      </c>
      <c r="F31" s="62"/>
      <c r="G31" s="62" t="str">
        <f>IFERROR(VLOOKUP(ROWS($G$2:G31),$A$2:$B$1642,2,0),"")</f>
        <v>SEVEN SEAS SEA FOODS PRIVATE LIMITED</v>
      </c>
      <c r="H31" s="62"/>
      <c r="I31" s="62"/>
    </row>
    <row r="32" spans="1:9" ht="56.25">
      <c r="A32" s="61">
        <f>IF(ISNUMBER(SEARCH(My_Sheet!$B$8,B32)),MAX($A$1:A31)+1,0)</f>
        <v>26</v>
      </c>
      <c r="B32" s="99" t="s">
        <v>103</v>
      </c>
      <c r="C32" s="100" t="s">
        <v>189</v>
      </c>
      <c r="E32" s="100" t="s">
        <v>104</v>
      </c>
      <c r="F32" s="62"/>
      <c r="G32" s="62" t="str">
        <f>IFERROR(VLOOKUP(ROWS($G$2:G32),$A$2:$B$1642,2,0),"")</f>
        <v>SUNSHINE BAKERY FOODS PVT LTD.</v>
      </c>
      <c r="H32" s="62"/>
      <c r="I32" s="62"/>
    </row>
    <row r="33" spans="1:9" ht="37.5">
      <c r="A33" s="61">
        <f>IF(ISNUMBER(SEARCH(My_Sheet!$B$8,B33)),MAX($A$1:A32)+1,0)</f>
        <v>27</v>
      </c>
      <c r="B33" s="101" t="s">
        <v>178</v>
      </c>
      <c r="C33" s="102" t="s">
        <v>190</v>
      </c>
      <c r="E33" s="100" t="s">
        <v>105</v>
      </c>
      <c r="F33" s="62"/>
      <c r="G33" s="62" t="str">
        <f>IFERROR(VLOOKUP(ROWS($G$2:G33),$A$2:$B$1642,2,0),"")</f>
        <v>SAI ENTERPRISES.</v>
      </c>
      <c r="H33" s="62"/>
      <c r="I33" s="62"/>
    </row>
    <row r="34" spans="1:9" ht="56.25">
      <c r="A34" s="61">
        <f>IF(ISNUMBER(SEARCH(My_Sheet!$B$8,B34)),MAX($A$1:A33)+1,0)</f>
        <v>28</v>
      </c>
      <c r="B34" s="99" t="s">
        <v>159</v>
      </c>
      <c r="C34" s="102" t="s">
        <v>191</v>
      </c>
      <c r="E34" s="100" t="s">
        <v>105</v>
      </c>
      <c r="F34" s="62"/>
      <c r="G34" s="62" t="str">
        <f>IFERROR(VLOOKUP(ROWS($G$2:G34),$A$2:$B$1642,2,0),"")</f>
        <v>SRINIVASA SPECIAL EQIPMENT ENGINEERS</v>
      </c>
      <c r="H34" s="62"/>
      <c r="I34" s="62"/>
    </row>
    <row r="35" spans="1:9" ht="56.25">
      <c r="A35" s="61">
        <f>IF(ISNUMBER(SEARCH(My_Sheet!$B$8,B35)),MAX($A$1:A34)+1,0)</f>
        <v>29</v>
      </c>
      <c r="B35" s="101" t="s">
        <v>106</v>
      </c>
      <c r="C35" s="102" t="s">
        <v>192</v>
      </c>
      <c r="E35" s="100" t="s">
        <v>105</v>
      </c>
      <c r="F35" s="62"/>
      <c r="G35" s="62" t="str">
        <f>IFERROR(VLOOKUP(ROWS($G$2:G35),$A$2:$B$1642,2,0),"")</f>
        <v>SHARP ELECTRONICS</v>
      </c>
      <c r="H35" s="62"/>
      <c r="I35" s="62"/>
    </row>
    <row r="36" spans="1:9" ht="56.25">
      <c r="A36" s="61">
        <f>IF(ISNUMBER(SEARCH(My_Sheet!$B$8,B36)),MAX($A$1:A35)+1,0)</f>
        <v>30</v>
      </c>
      <c r="B36" s="99" t="s">
        <v>107</v>
      </c>
      <c r="C36" s="100" t="s">
        <v>160</v>
      </c>
      <c r="E36" s="100" t="s">
        <v>108</v>
      </c>
      <c r="F36" s="62"/>
      <c r="G36" s="62" t="str">
        <f>IFERROR(VLOOKUP(ROWS($G$2:G36),$A$2:$B$1642,2,0),"")</f>
        <v>St. PETER &amp; PAUL SEA FOOD EXPOERS (P) LTD.</v>
      </c>
      <c r="H36" s="62"/>
      <c r="I36" s="62"/>
    </row>
    <row r="37" spans="1:9" ht="37.5">
      <c r="A37" s="61">
        <f>IF(ISNUMBER(SEARCH(My_Sheet!$B$8,B37)),MAX($A$1:A36)+1,0)</f>
        <v>31</v>
      </c>
      <c r="B37" s="101" t="s">
        <v>177</v>
      </c>
      <c r="C37" s="102" t="s">
        <v>193</v>
      </c>
      <c r="E37" s="98" t="s">
        <v>109</v>
      </c>
      <c r="F37" s="62"/>
      <c r="G37" s="62" t="str">
        <f>IFERROR(VLOOKUP(ROWS($G$2:G37),$A$2:$B$1642,2,0),"")</f>
        <v>SHREE BALAJI POLYMER &amp; ALLIED PRODUCTS</v>
      </c>
      <c r="H37" s="62"/>
      <c r="I37" s="62"/>
    </row>
    <row r="38" spans="1:9" ht="37.5">
      <c r="A38" s="61">
        <f>IF(ISNUMBER(SEARCH(My_Sheet!$B$8,B38)),MAX($A$1:A37)+1,0)</f>
        <v>32</v>
      </c>
      <c r="B38" s="99" t="s">
        <v>110</v>
      </c>
      <c r="C38" s="100" t="s">
        <v>161</v>
      </c>
      <c r="E38" s="100" t="s">
        <v>111</v>
      </c>
      <c r="F38" s="62"/>
      <c r="G38" s="62" t="str">
        <f>IFERROR(VLOOKUP(ROWS($G$2:G38),$A$2:$B$1642,2,0),"")</f>
        <v>SEA KINGS.</v>
      </c>
      <c r="H38" s="62"/>
      <c r="I38" s="62"/>
    </row>
    <row r="39" spans="1:9" ht="37.5">
      <c r="A39" s="61">
        <f>IF(ISNUMBER(SEARCH(My_Sheet!$B$8,B39)),MAX($A$1:A38)+1,0)</f>
        <v>33</v>
      </c>
      <c r="B39" s="99" t="s">
        <v>112</v>
      </c>
      <c r="C39" s="100" t="s">
        <v>162</v>
      </c>
      <c r="E39" s="100" t="s">
        <v>113</v>
      </c>
      <c r="F39" s="62"/>
      <c r="G39" s="62" t="str">
        <f>IFERROR(VLOOKUP(ROWS($G$2:G39),$A$2:$B$1642,2,0),"")</f>
        <v>STEAMTECH PRODUCTS</v>
      </c>
      <c r="H39" s="62"/>
      <c r="I39" s="62"/>
    </row>
    <row r="40" spans="1:9" ht="56.25">
      <c r="A40" s="61">
        <f>IF(ISNUMBER(SEARCH(My_Sheet!$B$8,B40)),MAX($A$1:A39)+1,0)</f>
        <v>34</v>
      </c>
      <c r="B40" s="101" t="s">
        <v>114</v>
      </c>
      <c r="C40" s="102" t="s">
        <v>194</v>
      </c>
      <c r="E40" s="100" t="s">
        <v>115</v>
      </c>
      <c r="F40" s="62"/>
      <c r="G40" s="62" t="str">
        <f>IFERROR(VLOOKUP(ROWS($G$2:G40),$A$2:$B$1642,2,0),"")</f>
        <v>RAM ELECTRICALS</v>
      </c>
      <c r="H40" s="62"/>
      <c r="I40" s="62"/>
    </row>
    <row r="41" spans="1:9" ht="56.25">
      <c r="A41" s="61">
        <f>IF(ISNUMBER(SEARCH(My_Sheet!$B$8,B41)),MAX($A$1:A40)+1,0)</f>
        <v>35</v>
      </c>
      <c r="B41" s="99" t="s">
        <v>176</v>
      </c>
      <c r="C41" s="100" t="s">
        <v>163</v>
      </c>
      <c r="E41" s="100" t="s">
        <v>116</v>
      </c>
      <c r="F41" s="62"/>
      <c r="G41" s="62" t="str">
        <f>IFERROR(VLOOKUP(ROWS($G$2:G41),$A$2:$B$1642,2,0),"")</f>
        <v>THE CHENNAI SILKS - Tnv</v>
      </c>
      <c r="H41" s="62"/>
      <c r="I41" s="62"/>
    </row>
    <row r="42" spans="1:9" ht="37.5">
      <c r="A42" s="61">
        <f>IF(ISNUMBER(SEARCH(My_Sheet!$B$8,B42)),MAX($A$1:A41)+1,0)</f>
        <v>36</v>
      </c>
      <c r="B42" s="99" t="s">
        <v>117</v>
      </c>
      <c r="C42" s="100" t="s">
        <v>164</v>
      </c>
      <c r="E42" s="100" t="s">
        <v>118</v>
      </c>
      <c r="F42" s="62"/>
      <c r="G42" s="62" t="str">
        <f>IFERROR(VLOOKUP(ROWS($G$2:G42),$A$2:$B$1642,2,0),"")</f>
        <v>THE SALEM AEROPARK</v>
      </c>
      <c r="H42" s="62"/>
      <c r="I42" s="62"/>
    </row>
    <row r="43" spans="1:9" ht="37.5">
      <c r="A43" s="61">
        <f>IF(ISNUMBER(SEARCH(My_Sheet!$B$8,B43)),MAX($A$1:A42)+1,0)</f>
        <v>37</v>
      </c>
      <c r="B43" s="99" t="s">
        <v>119</v>
      </c>
      <c r="C43" s="100" t="s">
        <v>138</v>
      </c>
      <c r="E43" s="100" t="s">
        <v>120</v>
      </c>
      <c r="F43" s="62"/>
      <c r="G43" s="62" t="str">
        <f>IFERROR(VLOOKUP(ROWS($G$2:G43),$A$2:$B$1642,2,0),"")</f>
        <v>TREND ASSEMBLIES.</v>
      </c>
      <c r="H43" s="62"/>
      <c r="I43" s="62"/>
    </row>
    <row r="44" spans="1:9" ht="37.5">
      <c r="A44" s="61">
        <f>IF(ISNUMBER(SEARCH(My_Sheet!$B$8,B44)),MAX($A$1:A43)+1,0)</f>
        <v>38</v>
      </c>
      <c r="B44" s="108" t="s">
        <v>121</v>
      </c>
      <c r="C44" s="105" t="s">
        <v>195</v>
      </c>
      <c r="E44" s="104" t="s">
        <v>122</v>
      </c>
      <c r="F44" s="62"/>
      <c r="G44" s="62" t="str">
        <f>IFERROR(VLOOKUP(ROWS($G$2:G44),$A$2:$B$1642,2,0),"")</f>
        <v>TRIGUNI FOOD PVT LTD.</v>
      </c>
      <c r="H44" s="62"/>
      <c r="I44" s="62"/>
    </row>
    <row r="45" spans="1:9" ht="37.5">
      <c r="A45" s="61">
        <f>IF(ISNUMBER(SEARCH(My_Sheet!$B$8,B45)),MAX($A$1:A44)+1,0)</f>
        <v>39</v>
      </c>
      <c r="B45" s="107" t="s">
        <v>123</v>
      </c>
      <c r="C45" s="106" t="s">
        <v>165</v>
      </c>
      <c r="E45" s="104" t="s">
        <v>124</v>
      </c>
      <c r="F45" s="62"/>
      <c r="G45" s="62" t="str">
        <f>IFERROR(VLOOKUP(ROWS($G$2:G45),$A$2:$B$1642,2,0),"")</f>
        <v>TABLETS INDIA PVT LTD.</v>
      </c>
      <c r="H45" s="62"/>
      <c r="I45" s="62"/>
    </row>
    <row r="46" spans="1:9" ht="37.5">
      <c r="A46" s="61">
        <f>IF(ISNUMBER(SEARCH(My_Sheet!$B$8,B46)),MAX($A$1:A45)+1,0)</f>
        <v>40</v>
      </c>
      <c r="B46" s="99" t="s">
        <v>125</v>
      </c>
      <c r="C46" s="100" t="s">
        <v>166</v>
      </c>
      <c r="E46" s="100" t="s">
        <v>126</v>
      </c>
      <c r="F46" s="62"/>
      <c r="G46" s="62" t="str">
        <f>IFERROR(VLOOKUP(ROWS($G$2:G46),$A$2:$B$1642,2,0),"")</f>
        <v>TATA INTERNATIONAL LTD.</v>
      </c>
      <c r="H46" s="62"/>
      <c r="I46" s="62"/>
    </row>
    <row r="47" spans="1:9" ht="37.5">
      <c r="A47" s="61">
        <f>IF(ISNUMBER(SEARCH(My_Sheet!$B$8,B47)),MAX($A$1:A46)+1,0)</f>
        <v>41</v>
      </c>
      <c r="B47" s="103" t="s">
        <v>127</v>
      </c>
      <c r="C47" s="104" t="s">
        <v>167</v>
      </c>
      <c r="E47" s="104" t="s">
        <v>69</v>
      </c>
      <c r="F47" s="62"/>
      <c r="G47" s="62" t="str">
        <f>IFERROR(VLOOKUP(ROWS($G$2:G47),$A$2:$B$1642,2,0),"")</f>
        <v>THE KTM JEWELLERY LIMITED</v>
      </c>
      <c r="H47" s="62"/>
      <c r="I47" s="62"/>
    </row>
    <row r="48" spans="1:9" ht="37.5">
      <c r="A48" s="61">
        <f>IF(ISNUMBER(SEARCH(My_Sheet!$B$8,B48)),MAX($A$1:A47)+1,0)</f>
        <v>42</v>
      </c>
      <c r="B48" s="99" t="s">
        <v>128</v>
      </c>
      <c r="C48" s="100" t="s">
        <v>168</v>
      </c>
      <c r="E48" s="98" t="s">
        <v>129</v>
      </c>
      <c r="F48" s="62"/>
      <c r="G48" s="62" t="str">
        <f>IFERROR(VLOOKUP(ROWS($G$2:G48),$A$2:$B$1642,2,0),"")</f>
        <v>VISHAL SLEIVES INC.</v>
      </c>
      <c r="H48" s="62"/>
      <c r="I48" s="62"/>
    </row>
    <row r="49" spans="1:9" ht="37.5">
      <c r="A49" s="61">
        <f>IF(ISNUMBER(SEARCH(My_Sheet!$B$8,B49)),MAX($A$1:A48)+1,0)</f>
        <v>43</v>
      </c>
      <c r="B49" s="103" t="s">
        <v>130</v>
      </c>
      <c r="C49" s="104" t="s">
        <v>169</v>
      </c>
      <c r="E49" s="104" t="s">
        <v>131</v>
      </c>
      <c r="F49" s="62"/>
      <c r="G49" s="62" t="str">
        <f>IFERROR(VLOOKUP(ROWS($G$2:G49),$A$2:$B$1642,2,0),"")</f>
        <v>VASAVIBALA RESINS (P) LTD.</v>
      </c>
      <c r="H49" s="62"/>
      <c r="I49" s="62"/>
    </row>
    <row r="50" spans="1:9" ht="37.5">
      <c r="A50" s="61">
        <f>IF(ISNUMBER(SEARCH(My_Sheet!$B$8,B50)),MAX($A$1:A49)+1,0)</f>
        <v>44</v>
      </c>
      <c r="B50" s="107" t="s">
        <v>175</v>
      </c>
      <c r="C50" s="106" t="s">
        <v>196</v>
      </c>
      <c r="E50" s="104" t="s">
        <v>132</v>
      </c>
      <c r="F50" s="62"/>
      <c r="G50" s="62" t="str">
        <f>IFERROR(VLOOKUP(ROWS($G$2:G50),$A$2:$B$1642,2,0),"")</f>
        <v/>
      </c>
      <c r="H50" s="62"/>
      <c r="I50" s="62"/>
    </row>
    <row r="51" spans="1:9" ht="56.25">
      <c r="A51" s="61">
        <f>IF(ISNUMBER(SEARCH(My_Sheet!$B$8,B51)),MAX($A$1:A50)+1,0)</f>
        <v>45</v>
      </c>
      <c r="B51" s="103" t="s">
        <v>133</v>
      </c>
      <c r="C51" s="104" t="s">
        <v>170</v>
      </c>
      <c r="E51" s="104" t="s">
        <v>134</v>
      </c>
      <c r="F51" s="62"/>
      <c r="G51" s="62" t="str">
        <f>IFERROR(VLOOKUP(ROWS($G$2:G51),$A$2:$B$1642,2,0),"")</f>
        <v/>
      </c>
      <c r="H51" s="62"/>
      <c r="I51" s="62"/>
    </row>
    <row r="52" spans="1:9" ht="37.5">
      <c r="A52" s="61">
        <f>IF(ISNUMBER(SEARCH(My_Sheet!$B$8,B52)),MAX($A$1:A51)+1,0)</f>
        <v>46</v>
      </c>
      <c r="B52" s="103" t="s">
        <v>135</v>
      </c>
      <c r="C52" s="104" t="s">
        <v>197</v>
      </c>
      <c r="E52" s="104" t="s">
        <v>126</v>
      </c>
      <c r="F52" s="62"/>
      <c r="G52" s="62" t="str">
        <f>IFERROR(VLOOKUP(ROWS($G$2:G52),$A$2:$B$1642,2,0),"")</f>
        <v/>
      </c>
      <c r="H52" s="62"/>
      <c r="I52" s="62"/>
    </row>
    <row r="53" spans="1:9" ht="37.5">
      <c r="A53" s="61">
        <f>IF(ISNUMBER(SEARCH(My_Sheet!$B$8,B53)),MAX($A$1:A52)+1,0)</f>
        <v>47</v>
      </c>
      <c r="B53" s="103" t="s">
        <v>174</v>
      </c>
      <c r="C53" s="104" t="s">
        <v>171</v>
      </c>
      <c r="E53" s="104" t="s">
        <v>136</v>
      </c>
      <c r="F53" s="62"/>
      <c r="G53" s="62" t="str">
        <f>IFERROR(VLOOKUP(ROWS($G$2:G53),$A$2:$B$1642,2,0),"")</f>
        <v/>
      </c>
      <c r="H53" s="62"/>
      <c r="I53" s="62"/>
    </row>
    <row r="54" spans="1:9" ht="37.5">
      <c r="A54" s="61">
        <f>IF(ISNUMBER(SEARCH(My_Sheet!$B$8,B54)),MAX($A$1:A53)+1,0)</f>
        <v>48</v>
      </c>
      <c r="B54" s="99" t="s">
        <v>173</v>
      </c>
      <c r="C54" s="100" t="s">
        <v>172</v>
      </c>
      <c r="E54" s="100" t="s">
        <v>137</v>
      </c>
      <c r="F54" s="62"/>
      <c r="G54" s="62" t="str">
        <f>IFERROR(VLOOKUP(ROWS($G$2:G54),$A$2:$B$1642,2,0),"")</f>
        <v/>
      </c>
      <c r="H54" s="62"/>
      <c r="I54" s="62"/>
    </row>
    <row r="55" spans="1:9">
      <c r="A55" s="61">
        <f>IF(ISNUMBER(SEARCH(My_Sheet!$B$8,B55)),MAX($A$1:A54)+1,0)</f>
        <v>0</v>
      </c>
      <c r="C55" s="100"/>
      <c r="F55" s="62"/>
      <c r="G55" s="62" t="str">
        <f>IFERROR(VLOOKUP(ROWS($G$2:G55),$A$2:$B$1642,2,0),"")</f>
        <v/>
      </c>
      <c r="H55" s="62"/>
      <c r="I55" s="62"/>
    </row>
    <row r="56" spans="1:9">
      <c r="A56" s="61">
        <f>IF(ISNUMBER(SEARCH(My_Sheet!$B$8,B56)),MAX($A$1:A55)+1,0)</f>
        <v>0</v>
      </c>
      <c r="C56" s="102"/>
      <c r="F56" s="62"/>
      <c r="G56" s="62" t="str">
        <f>IFERROR(VLOOKUP(ROWS($G$2:G56),$A$2:$B$1642,2,0),"")</f>
        <v/>
      </c>
      <c r="H56" s="62"/>
      <c r="I56" s="62"/>
    </row>
    <row r="57" spans="1:9">
      <c r="A57" s="61">
        <f>IF(ISNUMBER(SEARCH(My_Sheet!$B$8,B57)),MAX($A$1:A56)+1,0)</f>
        <v>0</v>
      </c>
      <c r="F57" s="62"/>
      <c r="G57" s="62" t="str">
        <f>IFERROR(VLOOKUP(ROWS($G$2:G57),$A$2:$B$1642,2,0),"")</f>
        <v/>
      </c>
      <c r="H57" s="62"/>
      <c r="I57" s="62"/>
    </row>
    <row r="58" spans="1:9">
      <c r="A58" s="61">
        <f>IF(ISNUMBER(SEARCH(My_Sheet!$B$8,B58)),MAX($A$1:A57)+1,0)</f>
        <v>0</v>
      </c>
      <c r="F58" s="62"/>
      <c r="G58" s="62" t="str">
        <f>IFERROR(VLOOKUP(ROWS($G$2:G58),$A$2:$B$1642,2,0),"")</f>
        <v/>
      </c>
      <c r="H58" s="62"/>
      <c r="I58" s="62"/>
    </row>
    <row r="59" spans="1:9">
      <c r="A59" s="61">
        <f>IF(ISNUMBER(SEARCH(My_Sheet!$B$8,B59)),MAX($A$1:A58)+1,0)</f>
        <v>0</v>
      </c>
      <c r="F59" s="62"/>
      <c r="G59" s="62" t="str">
        <f>IFERROR(VLOOKUP(ROWS($G$2:G59),$A$2:$B$1642,2,0),"")</f>
        <v/>
      </c>
      <c r="H59" s="62"/>
      <c r="I59" s="62"/>
    </row>
    <row r="60" spans="1:9">
      <c r="A60" s="61">
        <f>IF(ISNUMBER(SEARCH(My_Sheet!$B$8,B60)),MAX($A$1:A59)+1,0)</f>
        <v>0</v>
      </c>
      <c r="F60" s="62"/>
      <c r="G60" s="62" t="str">
        <f>IFERROR(VLOOKUP(ROWS($G$2:G60),$A$2:$B$1642,2,0),"")</f>
        <v/>
      </c>
      <c r="H60" s="62"/>
      <c r="I60" s="62"/>
    </row>
    <row r="61" spans="1:9">
      <c r="A61" s="61">
        <f>IF(ISNUMBER(SEARCH(My_Sheet!$B$8,B61)),MAX($A$1:A60)+1,0)</f>
        <v>0</v>
      </c>
      <c r="F61" s="62"/>
      <c r="G61" s="62" t="str">
        <f>IFERROR(VLOOKUP(ROWS($G$2:G61),$A$2:$B$1642,2,0),"")</f>
        <v/>
      </c>
      <c r="H61" s="62"/>
      <c r="I61" s="62"/>
    </row>
    <row r="62" spans="1:9">
      <c r="A62" s="61">
        <f>IF(ISNUMBER(SEARCH(My_Sheet!$B$8,B62)),MAX($A$1:A61)+1,0)</f>
        <v>0</v>
      </c>
      <c r="F62" s="62"/>
      <c r="G62" s="62" t="str">
        <f>IFERROR(VLOOKUP(ROWS($G$2:G62),$A$2:$B$1642,2,0),"")</f>
        <v/>
      </c>
      <c r="H62" s="62"/>
      <c r="I62" s="62"/>
    </row>
    <row r="63" spans="1:9">
      <c r="A63" s="61">
        <f>IF(ISNUMBER(SEARCH(My_Sheet!$B$8,B63)),MAX($A$1:A62)+1,0)</f>
        <v>0</v>
      </c>
      <c r="F63" s="62"/>
      <c r="G63" s="62" t="str">
        <f>IFERROR(VLOOKUP(ROWS($G$2:G63),$A$2:$B$1642,2,0),"")</f>
        <v/>
      </c>
      <c r="H63" s="62"/>
      <c r="I63" s="62"/>
    </row>
    <row r="64" spans="1:9">
      <c r="A64" s="61">
        <f>IF(ISNUMBER(SEARCH(My_Sheet!$B$8,B64)),MAX($A$1:A63)+1,0)</f>
        <v>0</v>
      </c>
      <c r="F64" s="62"/>
      <c r="G64" s="62" t="str">
        <f>IFERROR(VLOOKUP(ROWS($G$2:G64),$A$2:$B$1642,2,0),"")</f>
        <v/>
      </c>
      <c r="H64" s="62"/>
      <c r="I64" s="62"/>
    </row>
    <row r="65" spans="1:9">
      <c r="A65" s="61">
        <f>IF(ISNUMBER(SEARCH(My_Sheet!$B$8,B65)),MAX($A$1:A64)+1,0)</f>
        <v>0</v>
      </c>
      <c r="F65" s="62"/>
      <c r="G65" s="62" t="str">
        <f>IFERROR(VLOOKUP(ROWS($G$2:G65),$A$2:$B$1642,2,0),"")</f>
        <v/>
      </c>
      <c r="H65" s="62"/>
      <c r="I65" s="62"/>
    </row>
    <row r="66" spans="1:9">
      <c r="A66" s="61">
        <f>IF(ISNUMBER(SEARCH(My_Sheet!$B$8,B66)),MAX($A$1:A65)+1,0)</f>
        <v>0</v>
      </c>
      <c r="F66" s="62"/>
      <c r="G66" s="62" t="str">
        <f>IFERROR(VLOOKUP(ROWS($G$2:G66),$A$2:$B$1642,2,0),"")</f>
        <v/>
      </c>
      <c r="H66" s="62"/>
      <c r="I66" s="62"/>
    </row>
    <row r="67" spans="1:9">
      <c r="A67" s="61">
        <f>IF(ISNUMBER(SEARCH(My_Sheet!$B$8,B67)),MAX($A$1:A66)+1,0)</f>
        <v>0</v>
      </c>
      <c r="F67" s="62"/>
      <c r="G67" s="62" t="str">
        <f>IFERROR(VLOOKUP(ROWS($G$2:G67),$A$2:$B$1642,2,0),"")</f>
        <v/>
      </c>
      <c r="H67" s="62"/>
      <c r="I67" s="62"/>
    </row>
    <row r="68" spans="1:9">
      <c r="A68" s="61">
        <f>IF(ISNUMBER(SEARCH(My_Sheet!$B$8,B68)),MAX($A$1:A67)+1,0)</f>
        <v>0</v>
      </c>
      <c r="F68" s="62"/>
      <c r="G68" s="62" t="str">
        <f>IFERROR(VLOOKUP(ROWS($G$2:G68),$A$2:$B$1642,2,0),"")</f>
        <v/>
      </c>
      <c r="H68" s="62"/>
      <c r="I68" s="62"/>
    </row>
    <row r="69" spans="1:9">
      <c r="A69" s="61">
        <f>IF(ISNUMBER(SEARCH(My_Sheet!$B$8,B69)),MAX($A$1:A68)+1,0)</f>
        <v>0</v>
      </c>
      <c r="F69" s="62"/>
      <c r="G69" s="62" t="str">
        <f>IFERROR(VLOOKUP(ROWS($G$2:G69),$A$2:$B$1642,2,0),"")</f>
        <v/>
      </c>
      <c r="H69" s="62"/>
      <c r="I69" s="62"/>
    </row>
    <row r="70" spans="1:9">
      <c r="A70" s="61">
        <f>IF(ISNUMBER(SEARCH(My_Sheet!$B$8,B70)),MAX($A$1:A69)+1,0)</f>
        <v>0</v>
      </c>
      <c r="F70" s="62"/>
      <c r="G70" s="62" t="str">
        <f>IFERROR(VLOOKUP(ROWS($G$2:G70),$A$2:$B$1642,2,0),"")</f>
        <v/>
      </c>
      <c r="H70" s="62"/>
      <c r="I70" s="62"/>
    </row>
    <row r="71" spans="1:9">
      <c r="A71" s="61">
        <f>IF(ISNUMBER(SEARCH(My_Sheet!$B$8,B71)),MAX($A$1:A70)+1,0)</f>
        <v>0</v>
      </c>
      <c r="F71" s="62"/>
      <c r="G71" s="62" t="str">
        <f>IFERROR(VLOOKUP(ROWS($G$2:G71),$A$2:$B$1642,2,0),"")</f>
        <v/>
      </c>
      <c r="H71" s="62"/>
      <c r="I71" s="62"/>
    </row>
    <row r="72" spans="1:9">
      <c r="A72" s="61">
        <f>IF(ISNUMBER(SEARCH(My_Sheet!$B$8,B72)),MAX($A$1:A71)+1,0)</f>
        <v>0</v>
      </c>
      <c r="F72" s="62"/>
      <c r="G72" s="62" t="str">
        <f>IFERROR(VLOOKUP(ROWS($G$2:G72),$A$2:$B$1642,2,0),"")</f>
        <v/>
      </c>
      <c r="H72" s="62"/>
      <c r="I72" s="62"/>
    </row>
    <row r="73" spans="1:9">
      <c r="A73" s="61">
        <f>IF(ISNUMBER(SEARCH(My_Sheet!$B$8,B73)),MAX($A$1:A72)+1,0)</f>
        <v>0</v>
      </c>
      <c r="F73" s="62"/>
      <c r="G73" s="62" t="str">
        <f>IFERROR(VLOOKUP(ROWS($G$2:G73),$A$2:$B$1642,2,0),"")</f>
        <v/>
      </c>
      <c r="H73" s="62"/>
      <c r="I73" s="62"/>
    </row>
    <row r="74" spans="1:9">
      <c r="A74" s="61">
        <f>IF(ISNUMBER(SEARCH(My_Sheet!$B$8,B74)),MAX($A$1:A73)+1,0)</f>
        <v>0</v>
      </c>
      <c r="F74" s="62"/>
      <c r="G74" s="62" t="str">
        <f>IFERROR(VLOOKUP(ROWS($G$2:G74),$A$2:$B$1642,2,0),"")</f>
        <v/>
      </c>
      <c r="H74" s="62"/>
      <c r="I74" s="62"/>
    </row>
    <row r="75" spans="1:9">
      <c r="A75" s="61">
        <f>IF(ISNUMBER(SEARCH(My_Sheet!$B$8,B75)),MAX($A$1:A74)+1,0)</f>
        <v>0</v>
      </c>
      <c r="F75" s="62"/>
      <c r="G75" s="62" t="str">
        <f>IFERROR(VLOOKUP(ROWS($G$2:G75),$A$2:$B$1642,2,0),"")</f>
        <v/>
      </c>
      <c r="H75" s="62"/>
      <c r="I75" s="62"/>
    </row>
    <row r="76" spans="1:9">
      <c r="A76" s="61">
        <f>IF(ISNUMBER(SEARCH(My_Sheet!$B$8,B76)),MAX($A$1:A75)+1,0)</f>
        <v>0</v>
      </c>
      <c r="F76" s="62"/>
      <c r="G76" s="62" t="str">
        <f>IFERROR(VLOOKUP(ROWS($G$2:G76),$A$2:$B$1642,2,0),"")</f>
        <v/>
      </c>
      <c r="H76" s="62"/>
      <c r="I76" s="62"/>
    </row>
    <row r="77" spans="1:9">
      <c r="A77" s="61">
        <f>IF(ISNUMBER(SEARCH(My_Sheet!$B$8,B77)),MAX($A$1:A76)+1,0)</f>
        <v>0</v>
      </c>
      <c r="F77" s="62"/>
      <c r="G77" s="62" t="str">
        <f>IFERROR(VLOOKUP(ROWS($G$2:G77),$A$2:$B$1642,2,0),"")</f>
        <v/>
      </c>
      <c r="H77" s="62"/>
      <c r="I77" s="62"/>
    </row>
    <row r="78" spans="1:9">
      <c r="A78" s="61">
        <f>IF(ISNUMBER(SEARCH(My_Sheet!$B$8,B78)),MAX($A$1:A77)+1,0)</f>
        <v>0</v>
      </c>
      <c r="F78" s="62"/>
      <c r="G78" s="62" t="str">
        <f>IFERROR(VLOOKUP(ROWS($G$2:G78),$A$2:$B$1642,2,0),"")</f>
        <v/>
      </c>
      <c r="H78" s="62"/>
      <c r="I78" s="62"/>
    </row>
    <row r="79" spans="1:9">
      <c r="A79" s="61">
        <f>IF(ISNUMBER(SEARCH(My_Sheet!$B$8,B79)),MAX($A$1:A78)+1,0)</f>
        <v>0</v>
      </c>
      <c r="F79" s="62"/>
      <c r="G79" s="62" t="str">
        <f>IFERROR(VLOOKUP(ROWS($G$2:G79),$A$2:$B$1642,2,0),"")</f>
        <v/>
      </c>
      <c r="H79" s="62"/>
      <c r="I79" s="62"/>
    </row>
    <row r="80" spans="1:9">
      <c r="A80" s="61">
        <f>IF(ISNUMBER(SEARCH(My_Sheet!$B$8,B80)),MAX($A$1:A79)+1,0)</f>
        <v>0</v>
      </c>
      <c r="F80" s="62"/>
      <c r="G80" s="62" t="str">
        <f>IFERROR(VLOOKUP(ROWS($G$2:G80),$A$2:$B$1642,2,0),"")</f>
        <v/>
      </c>
      <c r="H80" s="62"/>
      <c r="I80" s="62"/>
    </row>
    <row r="81" spans="1:9">
      <c r="A81" s="61">
        <f>IF(ISNUMBER(SEARCH(My_Sheet!$B$8,B81)),MAX($A$1:A80)+1,0)</f>
        <v>0</v>
      </c>
      <c r="F81" s="62"/>
      <c r="G81" s="62" t="str">
        <f>IFERROR(VLOOKUP(ROWS($G$2:G81),$A$2:$B$1642,2,0),"")</f>
        <v/>
      </c>
      <c r="H81" s="62"/>
      <c r="I81" s="62"/>
    </row>
    <row r="82" spans="1:9">
      <c r="A82" s="61">
        <f>IF(ISNUMBER(SEARCH(My_Sheet!$B$8,B82)),MAX($A$1:A81)+1,0)</f>
        <v>0</v>
      </c>
      <c r="F82" s="62"/>
      <c r="G82" s="62" t="str">
        <f>IFERROR(VLOOKUP(ROWS($G$2:G82),$A$2:$B$1642,2,0),"")</f>
        <v/>
      </c>
      <c r="H82" s="62"/>
      <c r="I82" s="62"/>
    </row>
    <row r="83" spans="1:9">
      <c r="A83" s="61">
        <f>IF(ISNUMBER(SEARCH(My_Sheet!$B$8,B83)),MAX($A$1:A82)+1,0)</f>
        <v>0</v>
      </c>
      <c r="F83" s="62"/>
      <c r="G83" s="62" t="str">
        <f>IFERROR(VLOOKUP(ROWS($G$2:G83),$A$2:$B$1642,2,0),"")</f>
        <v/>
      </c>
      <c r="H83" s="62"/>
      <c r="I83" s="62"/>
    </row>
    <row r="84" spans="1:9">
      <c r="A84" s="61">
        <f>IF(ISNUMBER(SEARCH(My_Sheet!$B$8,B84)),MAX($A$1:A83)+1,0)</f>
        <v>0</v>
      </c>
      <c r="F84" s="62"/>
      <c r="G84" s="62" t="str">
        <f>IFERROR(VLOOKUP(ROWS($G$2:G84),$A$2:$B$1642,2,0),"")</f>
        <v/>
      </c>
      <c r="H84" s="62"/>
      <c r="I84" s="62"/>
    </row>
    <row r="85" spans="1:9">
      <c r="A85" s="61">
        <f>IF(ISNUMBER(SEARCH(My_Sheet!$B$8,B85)),MAX($A$1:A84)+1,0)</f>
        <v>0</v>
      </c>
      <c r="G85" s="58" t="str">
        <f>IFERROR(VLOOKUP(ROWS($G$2:G85),$A$2:$B$1642,2,0),"")</f>
        <v/>
      </c>
    </row>
    <row r="86" spans="1:9">
      <c r="A86" s="61">
        <f>IF(ISNUMBER(SEARCH(My_Sheet!$B$8,B86)),MAX($A$1:A85)+1,0)</f>
        <v>0</v>
      </c>
      <c r="G86" s="58" t="str">
        <f>IFERROR(VLOOKUP(ROWS($G$2:G86),$A$2:$B$1642,2,0),"")</f>
        <v/>
      </c>
    </row>
    <row r="87" spans="1:9">
      <c r="A87" s="61">
        <f>IF(ISNUMBER(SEARCH(My_Sheet!$B$8,B87)),MAX($A$1:A86)+1,0)</f>
        <v>0</v>
      </c>
      <c r="G87" s="58" t="str">
        <f>IFERROR(VLOOKUP(ROWS($G$2:G87),$A$2:$B$1642,2,0),"")</f>
        <v/>
      </c>
    </row>
    <row r="88" spans="1:9">
      <c r="A88" s="61">
        <f>IF(ISNUMBER(SEARCH(My_Sheet!$B$8,B88)),MAX($A$1:A87)+1,0)</f>
        <v>0</v>
      </c>
      <c r="G88" s="58" t="str">
        <f>IFERROR(VLOOKUP(ROWS($G$2:G88),$A$2:$B$1642,2,0),"")</f>
        <v/>
      </c>
    </row>
    <row r="89" spans="1:9">
      <c r="A89" s="61">
        <f>IF(ISNUMBER(SEARCH(My_Sheet!$B$8,B89)),MAX($A$1:A88)+1,0)</f>
        <v>0</v>
      </c>
      <c r="G89" s="58" t="str">
        <f>IFERROR(VLOOKUP(ROWS($G$2:G89),$A$2:$B$1642,2,0),"")</f>
        <v/>
      </c>
    </row>
    <row r="90" spans="1:9">
      <c r="A90" s="61">
        <f>IF(ISNUMBER(SEARCH(My_Sheet!$B$8,B90)),MAX($A$1:A89)+1,0)</f>
        <v>0</v>
      </c>
      <c r="G90" s="58" t="str">
        <f>IFERROR(VLOOKUP(ROWS($G$2:G90),$A$2:$B$1642,2,0),"")</f>
        <v/>
      </c>
    </row>
    <row r="91" spans="1:9">
      <c r="A91" s="61">
        <f>IF(ISNUMBER(SEARCH(My_Sheet!$B$8,B91)),MAX($A$1:A90)+1,0)</f>
        <v>0</v>
      </c>
    </row>
    <row r="92" spans="1:9">
      <c r="A92" s="61">
        <f>IF(ISNUMBER(SEARCH(My_Sheet!$B$8,B92)),MAX($A$1:A91)+1,0)</f>
        <v>0</v>
      </c>
    </row>
    <row r="93" spans="1:9">
      <c r="A93" s="61">
        <f>IF(ISNUMBER(SEARCH(My_Sheet!$B$8,B93)),MAX($A$1:A92)+1,0)</f>
        <v>0</v>
      </c>
    </row>
    <row r="94" spans="1:9">
      <c r="A94" s="61">
        <f>IF(ISNUMBER(SEARCH(My_Sheet!$B$8,B94)),MAX($A$1:A93)+1,0)</f>
        <v>0</v>
      </c>
    </row>
    <row r="95" spans="1:9">
      <c r="A95" s="61">
        <f>IF(ISNUMBER(SEARCH(My_Sheet!$B$8,B95)),MAX($A$1:A94)+1,0)</f>
        <v>0</v>
      </c>
    </row>
    <row r="96" spans="1:9">
      <c r="A96" s="61">
        <f>IF(ISNUMBER(SEARCH(My_Sheet!$B$8,B96)),MAX($A$1:A95)+1,0)</f>
        <v>0</v>
      </c>
    </row>
    <row r="97" spans="1:1">
      <c r="A97" s="61">
        <f>IF(ISNUMBER(SEARCH(My_Sheet!$B$8,B97)),MAX($A$1:A96)+1,0)</f>
        <v>0</v>
      </c>
    </row>
    <row r="98" spans="1:1">
      <c r="A98" s="61">
        <f>IF(ISNUMBER(SEARCH(My_Sheet!$B$8,B98)),MAX($A$1:A97)+1,0)</f>
        <v>0</v>
      </c>
    </row>
    <row r="99" spans="1:1">
      <c r="A99" s="61">
        <f>IF(ISNUMBER(SEARCH(My_Sheet!$B$8,B99)),MAX($A$1:A98)+1,0)</f>
        <v>0</v>
      </c>
    </row>
    <row r="100" spans="1:1">
      <c r="A100" s="61">
        <f>IF(ISNUMBER(SEARCH(My_Sheet!$B$8,B100)),MAX($A$1:A99)+1,0)</f>
        <v>0</v>
      </c>
    </row>
    <row r="101" spans="1:1">
      <c r="A101" s="61">
        <f>IF(ISNUMBER(SEARCH(My_Sheet!$B$8,B101)),MAX($A$1:A100)+1,0)</f>
        <v>0</v>
      </c>
    </row>
    <row r="102" spans="1:1">
      <c r="A102" s="61">
        <f>IF(ISNUMBER(SEARCH(My_Sheet!$B$8,B102)),MAX($A$1:A101)+1,0)</f>
        <v>0</v>
      </c>
    </row>
    <row r="103" spans="1:1">
      <c r="A103" s="61">
        <f>IF(ISNUMBER(SEARCH(My_Sheet!$B$8,B103)),MAX($A$1:A102)+1,0)</f>
        <v>0</v>
      </c>
    </row>
    <row r="104" spans="1:1">
      <c r="A104" s="61">
        <f>IF(ISNUMBER(SEARCH(My_Sheet!$B$8,B104)),MAX($A$1:A103)+1,0)</f>
        <v>0</v>
      </c>
    </row>
    <row r="105" spans="1:1">
      <c r="A105" s="61">
        <f>IF(ISNUMBER(SEARCH(My_Sheet!$B$8,B105)),MAX($A$1:A104)+1,0)</f>
        <v>0</v>
      </c>
    </row>
    <row r="106" spans="1:1">
      <c r="A106" s="61">
        <f>IF(ISNUMBER(SEARCH(My_Sheet!$B$8,B106)),MAX($A$1:A105)+1,0)</f>
        <v>0</v>
      </c>
    </row>
    <row r="107" spans="1:1">
      <c r="A107" s="61">
        <f>IF(ISNUMBER(SEARCH(My_Sheet!$B$8,B107)),MAX($A$1:A106)+1,0)</f>
        <v>0</v>
      </c>
    </row>
    <row r="108" spans="1:1">
      <c r="A108" s="61">
        <f>IF(ISNUMBER(SEARCH(My_Sheet!$B$8,B108)),MAX($A$1:A107)+1,0)</f>
        <v>0</v>
      </c>
    </row>
    <row r="109" spans="1:1">
      <c r="A109" s="61">
        <f>IF(ISNUMBER(SEARCH(My_Sheet!$B$8,B109)),MAX($A$1:A108)+1,0)</f>
        <v>0</v>
      </c>
    </row>
    <row r="110" spans="1:1">
      <c r="A110" s="61">
        <f>IF(ISNUMBER(SEARCH(My_Sheet!$B$8,B110)),MAX($A$1:A109)+1,0)</f>
        <v>0</v>
      </c>
    </row>
    <row r="111" spans="1:1">
      <c r="A111" s="61">
        <f>IF(ISNUMBER(SEARCH(My_Sheet!$B$8,B111)),MAX($A$1:A110)+1,0)</f>
        <v>0</v>
      </c>
    </row>
    <row r="112" spans="1:1">
      <c r="A112" s="61">
        <f>IF(ISNUMBER(SEARCH(My_Sheet!$B$8,B112)),MAX($A$1:A111)+1,0)</f>
        <v>0</v>
      </c>
    </row>
    <row r="113" spans="1:1">
      <c r="A113" s="61">
        <f>IF(ISNUMBER(SEARCH(My_Sheet!$B$8,B113)),MAX($A$1:A112)+1,0)</f>
        <v>0</v>
      </c>
    </row>
    <row r="114" spans="1:1">
      <c r="A114" s="61">
        <f>IF(ISNUMBER(SEARCH(My_Sheet!$B$8,B114)),MAX($A$1:A113)+1,0)</f>
        <v>0</v>
      </c>
    </row>
    <row r="115" spans="1:1">
      <c r="A115" s="61">
        <f>IF(ISNUMBER(SEARCH(My_Sheet!$B$8,B115)),MAX($A$1:A114)+1,0)</f>
        <v>0</v>
      </c>
    </row>
    <row r="116" spans="1:1">
      <c r="A116" s="61">
        <f>IF(ISNUMBER(SEARCH(My_Sheet!$B$8,B116)),MAX($A$1:A115)+1,0)</f>
        <v>0</v>
      </c>
    </row>
    <row r="117" spans="1:1">
      <c r="A117" s="61">
        <f>IF(ISNUMBER(SEARCH(My_Sheet!$B$8,B117)),MAX($A$1:A116)+1,0)</f>
        <v>0</v>
      </c>
    </row>
    <row r="118" spans="1:1">
      <c r="A118" s="61">
        <f>IF(ISNUMBER(SEARCH(My_Sheet!$B$8,B118)),MAX($A$1:A117)+1,0)</f>
        <v>0</v>
      </c>
    </row>
    <row r="119" spans="1:1">
      <c r="A119" s="61">
        <f>IF(ISNUMBER(SEARCH(My_Sheet!$B$8,B119)),MAX($A$1:A118)+1,0)</f>
        <v>0</v>
      </c>
    </row>
    <row r="120" spans="1:1">
      <c r="A120" s="61">
        <f>IF(ISNUMBER(SEARCH(My_Sheet!$B$8,B120)),MAX($A$1:A119)+1,0)</f>
        <v>0</v>
      </c>
    </row>
    <row r="121" spans="1:1">
      <c r="A121" s="61">
        <f>IF(ISNUMBER(SEARCH(My_Sheet!$B$8,B121)),MAX($A$1:A120)+1,0)</f>
        <v>0</v>
      </c>
    </row>
    <row r="122" spans="1:1">
      <c r="A122" s="61">
        <f>IF(ISNUMBER(SEARCH(My_Sheet!$B$8,B122)),MAX($A$1:A121)+1,0)</f>
        <v>0</v>
      </c>
    </row>
    <row r="123" spans="1:1">
      <c r="A123" s="61">
        <f>IF(ISNUMBER(SEARCH(My_Sheet!$B$8,B123)),MAX($A$1:A122)+1,0)</f>
        <v>0</v>
      </c>
    </row>
    <row r="124" spans="1:1">
      <c r="A124" s="61">
        <f>IF(ISNUMBER(SEARCH(My_Sheet!$B$8,B124)),MAX($A$1:A123)+1,0)</f>
        <v>0</v>
      </c>
    </row>
    <row r="125" spans="1:1">
      <c r="A125" s="61">
        <f>IF(ISNUMBER(SEARCH(My_Sheet!$B$8,B125)),MAX($A$1:A124)+1,0)</f>
        <v>0</v>
      </c>
    </row>
    <row r="126" spans="1:1">
      <c r="A126" s="61">
        <f>IF(ISNUMBER(SEARCH(My_Sheet!$B$8,B126)),MAX($A$1:A125)+1,0)</f>
        <v>0</v>
      </c>
    </row>
    <row r="127" spans="1:1">
      <c r="A127" s="61">
        <f>IF(ISNUMBER(SEARCH(My_Sheet!$B$8,B127)),MAX($A$1:A126)+1,0)</f>
        <v>0</v>
      </c>
    </row>
    <row r="128" spans="1:1">
      <c r="A128" s="61">
        <f>IF(ISNUMBER(SEARCH(My_Sheet!$B$8,B128)),MAX($A$1:A127)+1,0)</f>
        <v>0</v>
      </c>
    </row>
    <row r="129" spans="1:1">
      <c r="A129" s="61">
        <f>IF(ISNUMBER(SEARCH(My_Sheet!$B$8,B129)),MAX($A$1:A128)+1,0)</f>
        <v>0</v>
      </c>
    </row>
    <row r="130" spans="1:1">
      <c r="A130" s="61">
        <f>IF(ISNUMBER(SEARCH(My_Sheet!$B$8,B130)),MAX($A$1:A129)+1,0)</f>
        <v>0</v>
      </c>
    </row>
    <row r="131" spans="1:1">
      <c r="A131" s="61">
        <f>IF(ISNUMBER(SEARCH(My_Sheet!$B$8,B131)),MAX($A$1:A130)+1,0)</f>
        <v>0</v>
      </c>
    </row>
    <row r="132" spans="1:1">
      <c r="A132" s="61">
        <f>IF(ISNUMBER(SEARCH(My_Sheet!$B$8,B132)),MAX($A$1:A131)+1,0)</f>
        <v>0</v>
      </c>
    </row>
    <row r="133" spans="1:1">
      <c r="A133" s="61">
        <f>IF(ISNUMBER(SEARCH(My_Sheet!$B$8,B133)),MAX($A$1:A132)+1,0)</f>
        <v>0</v>
      </c>
    </row>
    <row r="134" spans="1:1">
      <c r="A134" s="61">
        <f>IF(ISNUMBER(SEARCH(My_Sheet!$B$8,B134)),MAX($A$1:A133)+1,0)</f>
        <v>0</v>
      </c>
    </row>
    <row r="135" spans="1:1">
      <c r="A135" s="61">
        <f>IF(ISNUMBER(SEARCH(My_Sheet!$B$8,B135)),MAX($A$1:A134)+1,0)</f>
        <v>0</v>
      </c>
    </row>
    <row r="136" spans="1:1">
      <c r="A136" s="61">
        <f>IF(ISNUMBER(SEARCH(My_Sheet!$B$8,B136)),MAX($A$1:A135)+1,0)</f>
        <v>0</v>
      </c>
    </row>
    <row r="137" spans="1:1">
      <c r="A137" s="61">
        <f>IF(ISNUMBER(SEARCH(My_Sheet!$B$8,B137)),MAX($A$1:A136)+1,0)</f>
        <v>0</v>
      </c>
    </row>
    <row r="138" spans="1:1">
      <c r="A138" s="61">
        <f>IF(ISNUMBER(SEARCH(My_Sheet!$B$8,B138)),MAX($A$1:A137)+1,0)</f>
        <v>0</v>
      </c>
    </row>
    <row r="139" spans="1:1">
      <c r="A139" s="61">
        <f>IF(ISNUMBER(SEARCH(My_Sheet!$B$8,B139)),MAX($A$1:A138)+1,0)</f>
        <v>0</v>
      </c>
    </row>
    <row r="140" spans="1:1">
      <c r="A140" s="61">
        <f>IF(ISNUMBER(SEARCH(My_Sheet!$B$8,B140)),MAX($A$1:A139)+1,0)</f>
        <v>0</v>
      </c>
    </row>
    <row r="141" spans="1:1">
      <c r="A141" s="61">
        <f>IF(ISNUMBER(SEARCH(My_Sheet!$B$8,B141)),MAX($A$1:A140)+1,0)</f>
        <v>0</v>
      </c>
    </row>
    <row r="142" spans="1:1">
      <c r="A142" s="61">
        <f>IF(ISNUMBER(SEARCH(My_Sheet!$B$8,B142)),MAX($A$1:A141)+1,0)</f>
        <v>0</v>
      </c>
    </row>
    <row r="143" spans="1:1">
      <c r="A143" s="61">
        <f>IF(ISNUMBER(SEARCH(My_Sheet!$B$8,B143)),MAX($A$1:A142)+1,0)</f>
        <v>0</v>
      </c>
    </row>
    <row r="144" spans="1:1">
      <c r="A144" s="61">
        <f>IF(ISNUMBER(SEARCH(My_Sheet!$B$8,B144)),MAX($A$1:A143)+1,0)</f>
        <v>0</v>
      </c>
    </row>
    <row r="145" spans="1:1">
      <c r="A145" s="61">
        <f>IF(ISNUMBER(SEARCH(My_Sheet!$B$8,B145)),MAX($A$1:A144)+1,0)</f>
        <v>0</v>
      </c>
    </row>
    <row r="146" spans="1:1">
      <c r="A146" s="61">
        <f>IF(ISNUMBER(SEARCH(My_Sheet!$B$8,B146)),MAX($A$1:A145)+1,0)</f>
        <v>0</v>
      </c>
    </row>
    <row r="147" spans="1:1">
      <c r="A147" s="61">
        <f>IF(ISNUMBER(SEARCH(My_Sheet!$B$8,B147)),MAX($A$1:A146)+1,0)</f>
        <v>0</v>
      </c>
    </row>
    <row r="148" spans="1:1">
      <c r="A148" s="61">
        <f>IF(ISNUMBER(SEARCH(My_Sheet!$B$8,B148)),MAX($A$1:A147)+1,0)</f>
        <v>0</v>
      </c>
    </row>
    <row r="149" spans="1:1">
      <c r="A149" s="61">
        <f>IF(ISNUMBER(SEARCH(My_Sheet!$B$8,B149)),MAX($A$1:A148)+1,0)</f>
        <v>0</v>
      </c>
    </row>
    <row r="150" spans="1:1">
      <c r="A150" s="61">
        <f>IF(ISNUMBER(SEARCH(My_Sheet!$B$8,B150)),MAX($A$1:A149)+1,0)</f>
        <v>0</v>
      </c>
    </row>
    <row r="151" spans="1:1">
      <c r="A151" s="61">
        <f>IF(ISNUMBER(SEARCH(My_Sheet!$B$8,B151)),MAX($A$1:A150)+1,0)</f>
        <v>0</v>
      </c>
    </row>
    <row r="152" spans="1:1">
      <c r="A152" s="61">
        <f>IF(ISNUMBER(SEARCH(My_Sheet!$B$8,B152)),MAX($A$1:A151)+1,0)</f>
        <v>0</v>
      </c>
    </row>
    <row r="153" spans="1:1">
      <c r="A153" s="61">
        <f>IF(ISNUMBER(SEARCH(My_Sheet!$B$8,B153)),MAX($A$1:A152)+1,0)</f>
        <v>0</v>
      </c>
    </row>
    <row r="154" spans="1:1">
      <c r="A154" s="61">
        <f>IF(ISNUMBER(SEARCH(My_Sheet!$B$8,B154)),MAX($A$1:A153)+1,0)</f>
        <v>0</v>
      </c>
    </row>
    <row r="155" spans="1:1">
      <c r="A155" s="61">
        <f>IF(ISNUMBER(SEARCH(My_Sheet!$B$8,B155)),MAX($A$1:A154)+1,0)</f>
        <v>0</v>
      </c>
    </row>
    <row r="156" spans="1:1">
      <c r="A156" s="61">
        <f>IF(ISNUMBER(SEARCH(My_Sheet!$B$8,B156)),MAX($A$1:A155)+1,0)</f>
        <v>0</v>
      </c>
    </row>
    <row r="157" spans="1:1">
      <c r="A157" s="61">
        <f>IF(ISNUMBER(SEARCH(My_Sheet!$B$8,B157)),MAX($A$1:A156)+1,0)</f>
        <v>0</v>
      </c>
    </row>
    <row r="158" spans="1:1">
      <c r="A158" s="61">
        <f>IF(ISNUMBER(SEARCH(My_Sheet!$B$8,B158)),MAX($A$1:A157)+1,0)</f>
        <v>0</v>
      </c>
    </row>
    <row r="159" spans="1:1">
      <c r="A159" s="61">
        <f>IF(ISNUMBER(SEARCH(My_Sheet!$B$8,B159)),MAX($A$1:A158)+1,0)</f>
        <v>0</v>
      </c>
    </row>
    <row r="160" spans="1:1">
      <c r="A160" s="61">
        <f>IF(ISNUMBER(SEARCH(My_Sheet!$B$8,B160)),MAX($A$1:A159)+1,0)</f>
        <v>0</v>
      </c>
    </row>
    <row r="161" spans="1:1">
      <c r="A161" s="61">
        <f>IF(ISNUMBER(SEARCH(My_Sheet!$B$8,B161)),MAX($A$1:A160)+1,0)</f>
        <v>0</v>
      </c>
    </row>
    <row r="162" spans="1:1">
      <c r="A162" s="61">
        <f>IF(ISNUMBER(SEARCH(My_Sheet!$B$8,B162)),MAX($A$1:A161)+1,0)</f>
        <v>0</v>
      </c>
    </row>
    <row r="163" spans="1:1">
      <c r="A163" s="61">
        <f>IF(ISNUMBER(SEARCH(My_Sheet!$B$8,B163)),MAX($A$1:A162)+1,0)</f>
        <v>0</v>
      </c>
    </row>
    <row r="164" spans="1:1">
      <c r="A164" s="61">
        <f>IF(ISNUMBER(SEARCH(My_Sheet!$B$8,B164)),MAX($A$1:A163)+1,0)</f>
        <v>0</v>
      </c>
    </row>
    <row r="165" spans="1:1">
      <c r="A165" s="61">
        <f>IF(ISNUMBER(SEARCH(My_Sheet!$B$8,B165)),MAX($A$1:A164)+1,0)</f>
        <v>0</v>
      </c>
    </row>
    <row r="166" spans="1:1">
      <c r="A166" s="61">
        <f>IF(ISNUMBER(SEARCH(My_Sheet!$B$8,B166)),MAX($A$1:A165)+1,0)</f>
        <v>0</v>
      </c>
    </row>
    <row r="167" spans="1:1">
      <c r="A167" s="61">
        <f>IF(ISNUMBER(SEARCH(My_Sheet!$B$8,B167)),MAX($A$1:A166)+1,0)</f>
        <v>0</v>
      </c>
    </row>
    <row r="168" spans="1:1">
      <c r="A168" s="61">
        <f>IF(ISNUMBER(SEARCH(My_Sheet!$B$8,B168)),MAX($A$1:A167)+1,0)</f>
        <v>0</v>
      </c>
    </row>
    <row r="169" spans="1:1">
      <c r="A169" s="61">
        <f>IF(ISNUMBER(SEARCH(My_Sheet!$B$8,B169)),MAX($A$1:A168)+1,0)</f>
        <v>0</v>
      </c>
    </row>
    <row r="170" spans="1:1">
      <c r="A170" s="61">
        <f>IF(ISNUMBER(SEARCH(My_Sheet!$B$8,B170)),MAX($A$1:A169)+1,0)</f>
        <v>0</v>
      </c>
    </row>
    <row r="171" spans="1:1">
      <c r="A171" s="61">
        <f>IF(ISNUMBER(SEARCH(My_Sheet!$B$8,B171)),MAX($A$1:A170)+1,0)</f>
        <v>0</v>
      </c>
    </row>
    <row r="172" spans="1:1">
      <c r="A172" s="61">
        <f>IF(ISNUMBER(SEARCH(My_Sheet!$B$8,B172)),MAX($A$1:A171)+1,0)</f>
        <v>0</v>
      </c>
    </row>
    <row r="173" spans="1:1">
      <c r="A173" s="61">
        <f>IF(ISNUMBER(SEARCH(My_Sheet!$B$8,B173)),MAX($A$1:A172)+1,0)</f>
        <v>0</v>
      </c>
    </row>
    <row r="174" spans="1:1">
      <c r="A174" s="61">
        <f>IF(ISNUMBER(SEARCH(My_Sheet!$B$8,B174)),MAX($A$1:A173)+1,0)</f>
        <v>0</v>
      </c>
    </row>
    <row r="175" spans="1:1">
      <c r="A175" s="61">
        <f>IF(ISNUMBER(SEARCH(My_Sheet!$B$8,B175)),MAX($A$1:A174)+1,0)</f>
        <v>0</v>
      </c>
    </row>
    <row r="176" spans="1:1">
      <c r="A176" s="61">
        <f>IF(ISNUMBER(SEARCH(My_Sheet!$B$8,B176)),MAX($A$1:A175)+1,0)</f>
        <v>0</v>
      </c>
    </row>
    <row r="177" spans="1:1">
      <c r="A177" s="61">
        <f>IF(ISNUMBER(SEARCH(My_Sheet!$B$8,B177)),MAX($A$1:A176)+1,0)</f>
        <v>0</v>
      </c>
    </row>
    <row r="178" spans="1:1">
      <c r="A178" s="61">
        <f>IF(ISNUMBER(SEARCH(My_Sheet!$B$8,B178)),MAX($A$1:A177)+1,0)</f>
        <v>0</v>
      </c>
    </row>
    <row r="179" spans="1:1">
      <c r="A179" s="61">
        <f>IF(ISNUMBER(SEARCH(My_Sheet!$B$8,B179)),MAX($A$1:A178)+1,0)</f>
        <v>0</v>
      </c>
    </row>
    <row r="180" spans="1:1">
      <c r="A180" s="61">
        <f>IF(ISNUMBER(SEARCH(My_Sheet!$B$8,B180)),MAX($A$1:A179)+1,0)</f>
        <v>0</v>
      </c>
    </row>
    <row r="181" spans="1:1">
      <c r="A181" s="61">
        <f>IF(ISNUMBER(SEARCH(My_Sheet!$B$8,B181)),MAX($A$1:A180)+1,0)</f>
        <v>0</v>
      </c>
    </row>
    <row r="182" spans="1:1">
      <c r="A182" s="61">
        <f>IF(ISNUMBER(SEARCH(My_Sheet!$B$8,B182)),MAX($A$1:A181)+1,0)</f>
        <v>0</v>
      </c>
    </row>
    <row r="183" spans="1:1">
      <c r="A183" s="61">
        <f>IF(ISNUMBER(SEARCH(My_Sheet!$B$8,B183)),MAX($A$1:A182)+1,0)</f>
        <v>0</v>
      </c>
    </row>
    <row r="184" spans="1:1">
      <c r="A184" s="61">
        <f>IF(ISNUMBER(SEARCH(My_Sheet!$B$8,B184)),MAX($A$1:A183)+1,0)</f>
        <v>0</v>
      </c>
    </row>
    <row r="185" spans="1:1">
      <c r="A185" s="61">
        <f>IF(ISNUMBER(SEARCH(My_Sheet!$B$8,B185)),MAX($A$1:A184)+1,0)</f>
        <v>0</v>
      </c>
    </row>
    <row r="186" spans="1:1">
      <c r="A186" s="61">
        <f>IF(ISNUMBER(SEARCH(My_Sheet!$B$8,B186)),MAX($A$1:A185)+1,0)</f>
        <v>0</v>
      </c>
    </row>
    <row r="187" spans="1:1">
      <c r="A187" s="61">
        <f>IF(ISNUMBER(SEARCH(My_Sheet!$B$8,B187)),MAX($A$1:A186)+1,0)</f>
        <v>0</v>
      </c>
    </row>
    <row r="188" spans="1:1">
      <c r="A188" s="61">
        <f>IF(ISNUMBER(SEARCH(My_Sheet!$B$8,B188)),MAX($A$1:A187)+1,0)</f>
        <v>0</v>
      </c>
    </row>
    <row r="189" spans="1:1">
      <c r="A189" s="61">
        <f>IF(ISNUMBER(SEARCH(My_Sheet!$B$8,B189)),MAX($A$1:A188)+1,0)</f>
        <v>0</v>
      </c>
    </row>
    <row r="190" spans="1:1">
      <c r="A190" s="61">
        <f>IF(ISNUMBER(SEARCH(My_Sheet!$B$8,B190)),MAX($A$1:A189)+1,0)</f>
        <v>0</v>
      </c>
    </row>
    <row r="191" spans="1:1">
      <c r="A191" s="61">
        <f>IF(ISNUMBER(SEARCH(My_Sheet!$B$8,B191)),MAX($A$1:A190)+1,0)</f>
        <v>0</v>
      </c>
    </row>
    <row r="192" spans="1:1">
      <c r="A192" s="61">
        <f>IF(ISNUMBER(SEARCH(My_Sheet!$B$8,B192)),MAX($A$1:A191)+1,0)</f>
        <v>0</v>
      </c>
    </row>
    <row r="193" spans="1:1">
      <c r="A193" s="61">
        <f>IF(ISNUMBER(SEARCH(My_Sheet!$B$8,B193)),MAX($A$1:A192)+1,0)</f>
        <v>0</v>
      </c>
    </row>
    <row r="194" spans="1:1">
      <c r="A194" s="61">
        <f>IF(ISNUMBER(SEARCH(My_Sheet!$B$8,B194)),MAX($A$1:A193)+1,0)</f>
        <v>0</v>
      </c>
    </row>
    <row r="195" spans="1:1">
      <c r="A195" s="61">
        <f>IF(ISNUMBER(SEARCH(My_Sheet!$B$8,B195)),MAX($A$1:A194)+1,0)</f>
        <v>0</v>
      </c>
    </row>
    <row r="196" spans="1:1">
      <c r="A196" s="61">
        <f>IF(ISNUMBER(SEARCH(My_Sheet!$B$8,B196)),MAX($A$1:A195)+1,0)</f>
        <v>0</v>
      </c>
    </row>
    <row r="197" spans="1:1">
      <c r="A197" s="61">
        <f>IF(ISNUMBER(SEARCH(My_Sheet!$B$8,B197)),MAX($A$1:A196)+1,0)</f>
        <v>0</v>
      </c>
    </row>
    <row r="198" spans="1:1">
      <c r="A198" s="61">
        <f>IF(ISNUMBER(SEARCH(My_Sheet!$B$8,B198)),MAX($A$1:A197)+1,0)</f>
        <v>0</v>
      </c>
    </row>
    <row r="199" spans="1:1">
      <c r="A199" s="61">
        <f>IF(ISNUMBER(SEARCH(My_Sheet!$B$8,B199)),MAX($A$1:A198)+1,0)</f>
        <v>0</v>
      </c>
    </row>
    <row r="200" spans="1:1">
      <c r="A200" s="61">
        <f>IF(ISNUMBER(SEARCH(My_Sheet!$B$8,B200)),MAX($A$1:A199)+1,0)</f>
        <v>0</v>
      </c>
    </row>
    <row r="201" spans="1:1">
      <c r="A201" s="61">
        <f>IF(ISNUMBER(SEARCH(My_Sheet!$B$8,B201)),MAX($A$1:A200)+1,0)</f>
        <v>0</v>
      </c>
    </row>
    <row r="202" spans="1:1">
      <c r="A202" s="61">
        <f>IF(ISNUMBER(SEARCH(My_Sheet!$B$8,B202)),MAX($A$1:A201)+1,0)</f>
        <v>0</v>
      </c>
    </row>
    <row r="203" spans="1:1">
      <c r="A203" s="61">
        <f>IF(ISNUMBER(SEARCH(My_Sheet!$B$8,B203)),MAX($A$1:A202)+1,0)</f>
        <v>0</v>
      </c>
    </row>
    <row r="204" spans="1:1">
      <c r="A204" s="61">
        <f>IF(ISNUMBER(SEARCH(My_Sheet!$B$8,B204)),MAX($A$1:A203)+1,0)</f>
        <v>0</v>
      </c>
    </row>
    <row r="205" spans="1:1">
      <c r="A205" s="61">
        <f>IF(ISNUMBER(SEARCH(My_Sheet!$B$8,B205)),MAX($A$1:A204)+1,0)</f>
        <v>0</v>
      </c>
    </row>
    <row r="206" spans="1:1">
      <c r="A206" s="61">
        <f>IF(ISNUMBER(SEARCH(My_Sheet!$B$8,B206)),MAX($A$1:A205)+1,0)</f>
        <v>0</v>
      </c>
    </row>
    <row r="207" spans="1:1">
      <c r="A207" s="61">
        <f>IF(ISNUMBER(SEARCH(My_Sheet!$B$8,B207)),MAX($A$1:A206)+1,0)</f>
        <v>0</v>
      </c>
    </row>
    <row r="208" spans="1:1">
      <c r="A208" s="61">
        <f>IF(ISNUMBER(SEARCH(My_Sheet!$B$8,B208)),MAX($A$1:A207)+1,0)</f>
        <v>0</v>
      </c>
    </row>
    <row r="209" spans="1:1">
      <c r="A209" s="61">
        <f>IF(ISNUMBER(SEARCH(My_Sheet!$B$8,B209)),MAX($A$1:A208)+1,0)</f>
        <v>0</v>
      </c>
    </row>
    <row r="210" spans="1:1">
      <c r="A210" s="61">
        <f>IF(ISNUMBER(SEARCH(My_Sheet!$B$8,B210)),MAX($A$1:A209)+1,0)</f>
        <v>0</v>
      </c>
    </row>
    <row r="211" spans="1:1">
      <c r="A211" s="61">
        <f>IF(ISNUMBER(SEARCH(My_Sheet!$B$8,B211)),MAX($A$1:A210)+1,0)</f>
        <v>0</v>
      </c>
    </row>
    <row r="212" spans="1:1">
      <c r="A212" s="61">
        <f>IF(ISNUMBER(SEARCH(My_Sheet!$B$8,B212)),MAX($A$1:A211)+1,0)</f>
        <v>0</v>
      </c>
    </row>
    <row r="213" spans="1:1">
      <c r="A213" s="61">
        <f>IF(ISNUMBER(SEARCH(My_Sheet!$B$8,B213)),MAX($A$1:A212)+1,0)</f>
        <v>0</v>
      </c>
    </row>
    <row r="214" spans="1:1">
      <c r="A214" s="61">
        <f>IF(ISNUMBER(SEARCH(My_Sheet!$B$8,B214)),MAX($A$1:A213)+1,0)</f>
        <v>0</v>
      </c>
    </row>
    <row r="215" spans="1:1">
      <c r="A215" s="61">
        <f>IF(ISNUMBER(SEARCH(My_Sheet!$B$8,B215)),MAX($A$1:A214)+1,0)</f>
        <v>0</v>
      </c>
    </row>
    <row r="216" spans="1:1">
      <c r="A216" s="61">
        <f>IF(ISNUMBER(SEARCH(My_Sheet!$B$8,B216)),MAX($A$1:A215)+1,0)</f>
        <v>0</v>
      </c>
    </row>
    <row r="217" spans="1:1">
      <c r="A217" s="61">
        <f>IF(ISNUMBER(SEARCH(My_Sheet!$B$8,B217)),MAX($A$1:A216)+1,0)</f>
        <v>0</v>
      </c>
    </row>
    <row r="218" spans="1:1">
      <c r="A218" s="61">
        <f>IF(ISNUMBER(SEARCH(My_Sheet!$B$8,B218)),MAX($A$1:A217)+1,0)</f>
        <v>0</v>
      </c>
    </row>
    <row r="219" spans="1:1">
      <c r="A219" s="61">
        <f>IF(ISNUMBER(SEARCH(My_Sheet!$B$8,B219)),MAX($A$1:A218)+1,0)</f>
        <v>0</v>
      </c>
    </row>
    <row r="220" spans="1:1">
      <c r="A220" s="61">
        <f>IF(ISNUMBER(SEARCH(My_Sheet!$B$8,B220)),MAX($A$1:A219)+1,0)</f>
        <v>0</v>
      </c>
    </row>
    <row r="221" spans="1:1">
      <c r="A221" s="61">
        <f>IF(ISNUMBER(SEARCH(My_Sheet!$B$8,B221)),MAX($A$1:A220)+1,0)</f>
        <v>0</v>
      </c>
    </row>
    <row r="222" spans="1:1">
      <c r="A222" s="61">
        <f>IF(ISNUMBER(SEARCH(My_Sheet!$B$8,B222)),MAX($A$1:A221)+1,0)</f>
        <v>0</v>
      </c>
    </row>
    <row r="223" spans="1:1">
      <c r="A223" s="61">
        <f>IF(ISNUMBER(SEARCH(My_Sheet!$B$8,B223)),MAX($A$1:A222)+1,0)</f>
        <v>0</v>
      </c>
    </row>
    <row r="224" spans="1:1">
      <c r="A224" s="61">
        <f>IF(ISNUMBER(SEARCH(My_Sheet!$B$8,B224)),MAX($A$1:A223)+1,0)</f>
        <v>0</v>
      </c>
    </row>
    <row r="225" spans="1:1">
      <c r="A225" s="61">
        <f>IF(ISNUMBER(SEARCH(My_Sheet!$B$8,B225)),MAX($A$1:A224)+1,0)</f>
        <v>0</v>
      </c>
    </row>
    <row r="226" spans="1:1">
      <c r="A226" s="61">
        <f>IF(ISNUMBER(SEARCH(My_Sheet!$B$8,B226)),MAX($A$1:A225)+1,0)</f>
        <v>0</v>
      </c>
    </row>
    <row r="227" spans="1:1">
      <c r="A227" s="61">
        <f>IF(ISNUMBER(SEARCH(My_Sheet!$B$8,B227)),MAX($A$1:A226)+1,0)</f>
        <v>0</v>
      </c>
    </row>
    <row r="228" spans="1:1">
      <c r="A228" s="61">
        <f>IF(ISNUMBER(SEARCH(My_Sheet!$B$8,B228)),MAX($A$1:A227)+1,0)</f>
        <v>0</v>
      </c>
    </row>
    <row r="229" spans="1:1">
      <c r="A229" s="61">
        <f>IF(ISNUMBER(SEARCH(My_Sheet!$B$8,B229)),MAX($A$1:A228)+1,0)</f>
        <v>0</v>
      </c>
    </row>
    <row r="230" spans="1:1">
      <c r="A230" s="61">
        <f>IF(ISNUMBER(SEARCH(My_Sheet!$B$8,B230)),MAX($A$1:A229)+1,0)</f>
        <v>0</v>
      </c>
    </row>
    <row r="231" spans="1:1">
      <c r="A231" s="61">
        <f>IF(ISNUMBER(SEARCH(My_Sheet!$B$8,B231)),MAX($A$1:A230)+1,0)</f>
        <v>0</v>
      </c>
    </row>
    <row r="232" spans="1:1">
      <c r="A232" s="61">
        <f>IF(ISNUMBER(SEARCH(My_Sheet!$B$8,B232)),MAX($A$1:A231)+1,0)</f>
        <v>0</v>
      </c>
    </row>
    <row r="233" spans="1:1">
      <c r="A233" s="61">
        <f>IF(ISNUMBER(SEARCH(My_Sheet!$B$8,B233)),MAX($A$1:A232)+1,0)</f>
        <v>0</v>
      </c>
    </row>
    <row r="234" spans="1:1">
      <c r="A234" s="61">
        <f>IF(ISNUMBER(SEARCH(My_Sheet!$B$8,B234)),MAX($A$1:A233)+1,0)</f>
        <v>0</v>
      </c>
    </row>
    <row r="235" spans="1:1">
      <c r="A235" s="61">
        <f>IF(ISNUMBER(SEARCH(My_Sheet!$B$8,B235)),MAX($A$1:A234)+1,0)</f>
        <v>0</v>
      </c>
    </row>
    <row r="236" spans="1:1">
      <c r="A236" s="61">
        <f>IF(ISNUMBER(SEARCH(My_Sheet!$B$8,B236)),MAX($A$1:A235)+1,0)</f>
        <v>0</v>
      </c>
    </row>
    <row r="237" spans="1:1">
      <c r="A237" s="61">
        <f>IF(ISNUMBER(SEARCH(My_Sheet!$B$8,B237)),MAX($A$1:A236)+1,0)</f>
        <v>0</v>
      </c>
    </row>
    <row r="238" spans="1:1">
      <c r="A238" s="61">
        <f>IF(ISNUMBER(SEARCH(My_Sheet!$B$8,B238)),MAX($A$1:A237)+1,0)</f>
        <v>0</v>
      </c>
    </row>
    <row r="239" spans="1:1">
      <c r="A239" s="61">
        <f>IF(ISNUMBER(SEARCH(My_Sheet!$B$8,B239)),MAX($A$1:A238)+1,0)</f>
        <v>0</v>
      </c>
    </row>
    <row r="240" spans="1:1">
      <c r="A240" s="61">
        <f>IF(ISNUMBER(SEARCH(My_Sheet!$B$8,B240)),MAX($A$1:A239)+1,0)</f>
        <v>0</v>
      </c>
    </row>
    <row r="241" spans="1:1">
      <c r="A241" s="61">
        <f>IF(ISNUMBER(SEARCH(My_Sheet!$B$8,B241)),MAX($A$1:A240)+1,0)</f>
        <v>0</v>
      </c>
    </row>
    <row r="242" spans="1:1">
      <c r="A242" s="61">
        <f>IF(ISNUMBER(SEARCH(My_Sheet!$B$8,B242)),MAX($A$1:A241)+1,0)</f>
        <v>0</v>
      </c>
    </row>
    <row r="243" spans="1:1">
      <c r="A243" s="61">
        <f>IF(ISNUMBER(SEARCH(My_Sheet!$B$8,B243)),MAX($A$1:A242)+1,0)</f>
        <v>0</v>
      </c>
    </row>
    <row r="244" spans="1:1">
      <c r="A244" s="61">
        <f>IF(ISNUMBER(SEARCH(My_Sheet!$B$8,B244)),MAX($A$1:A243)+1,0)</f>
        <v>0</v>
      </c>
    </row>
    <row r="245" spans="1:1">
      <c r="A245" s="61">
        <f>IF(ISNUMBER(SEARCH(My_Sheet!$B$8,B245)),MAX($A$1:A244)+1,0)</f>
        <v>0</v>
      </c>
    </row>
    <row r="246" spans="1:1">
      <c r="A246" s="61">
        <f>IF(ISNUMBER(SEARCH(My_Sheet!$B$8,B246)),MAX($A$1:A245)+1,0)</f>
        <v>0</v>
      </c>
    </row>
    <row r="247" spans="1:1">
      <c r="A247" s="61">
        <f>IF(ISNUMBER(SEARCH(My_Sheet!$B$8,B247)),MAX($A$1:A246)+1,0)</f>
        <v>0</v>
      </c>
    </row>
    <row r="248" spans="1:1">
      <c r="A248" s="61">
        <f>IF(ISNUMBER(SEARCH(My_Sheet!$B$8,B248)),MAX($A$1:A247)+1,0)</f>
        <v>0</v>
      </c>
    </row>
    <row r="249" spans="1:1">
      <c r="A249" s="61">
        <f>IF(ISNUMBER(SEARCH(My_Sheet!$B$8,B249)),MAX($A$1:A248)+1,0)</f>
        <v>0</v>
      </c>
    </row>
    <row r="250" spans="1:1">
      <c r="A250" s="61">
        <f>IF(ISNUMBER(SEARCH(My_Sheet!$B$8,B250)),MAX($A$1:A249)+1,0)</f>
        <v>0</v>
      </c>
    </row>
    <row r="251" spans="1:1">
      <c r="A251" s="61">
        <f>IF(ISNUMBER(SEARCH(My_Sheet!$B$8,B251)),MAX($A$1:A250)+1,0)</f>
        <v>0</v>
      </c>
    </row>
    <row r="252" spans="1:1">
      <c r="A252" s="61">
        <f>IF(ISNUMBER(SEARCH(My_Sheet!$B$8,B252)),MAX($A$1:A251)+1,0)</f>
        <v>0</v>
      </c>
    </row>
    <row r="253" spans="1:1">
      <c r="A253" s="61">
        <f>IF(ISNUMBER(SEARCH(My_Sheet!$B$8,B253)),MAX($A$1:A252)+1,0)</f>
        <v>0</v>
      </c>
    </row>
    <row r="254" spans="1:1">
      <c r="A254" s="61">
        <f>IF(ISNUMBER(SEARCH(My_Sheet!$B$8,B254)),MAX($A$1:A253)+1,0)</f>
        <v>0</v>
      </c>
    </row>
    <row r="255" spans="1:1">
      <c r="A255" s="61">
        <f>IF(ISNUMBER(SEARCH(My_Sheet!$B$8,B255)),MAX($A$1:A254)+1,0)</f>
        <v>0</v>
      </c>
    </row>
    <row r="256" spans="1:1">
      <c r="A256" s="61">
        <f>IF(ISNUMBER(SEARCH(My_Sheet!$B$8,B256)),MAX($A$1:A255)+1,0)</f>
        <v>0</v>
      </c>
    </row>
    <row r="257" spans="1:1">
      <c r="A257" s="61">
        <f>IF(ISNUMBER(SEARCH(My_Sheet!$B$8,B257)),MAX($A$1:A256)+1,0)</f>
        <v>0</v>
      </c>
    </row>
    <row r="258" spans="1:1">
      <c r="A258" s="61">
        <f>IF(ISNUMBER(SEARCH(My_Sheet!$B$8,B258)),MAX($A$1:A257)+1,0)</f>
        <v>0</v>
      </c>
    </row>
    <row r="259" spans="1:1">
      <c r="A259" s="61">
        <f>IF(ISNUMBER(SEARCH(My_Sheet!$B$8,B259)),MAX($A$1:A258)+1,0)</f>
        <v>0</v>
      </c>
    </row>
    <row r="260" spans="1:1">
      <c r="A260" s="61">
        <f>IF(ISNUMBER(SEARCH(My_Sheet!$B$8,B260)),MAX($A$1:A259)+1,0)</f>
        <v>0</v>
      </c>
    </row>
    <row r="261" spans="1:1">
      <c r="A261" s="61">
        <f>IF(ISNUMBER(SEARCH(My_Sheet!$B$8,B261)),MAX($A$1:A260)+1,0)</f>
        <v>0</v>
      </c>
    </row>
    <row r="262" spans="1:1">
      <c r="A262" s="61">
        <f>IF(ISNUMBER(SEARCH(My_Sheet!$B$8,B262)),MAX($A$1:A261)+1,0)</f>
        <v>0</v>
      </c>
    </row>
    <row r="263" spans="1:1">
      <c r="A263" s="61">
        <f>IF(ISNUMBER(SEARCH(My_Sheet!$B$8,B263)),MAX($A$1:A262)+1,0)</f>
        <v>0</v>
      </c>
    </row>
    <row r="264" spans="1:1">
      <c r="A264" s="61">
        <f>IF(ISNUMBER(SEARCH(My_Sheet!$B$8,B264)),MAX($A$1:A263)+1,0)</f>
        <v>0</v>
      </c>
    </row>
    <row r="265" spans="1:1">
      <c r="A265" s="61">
        <f>IF(ISNUMBER(SEARCH(My_Sheet!$B$8,B265)),MAX($A$1:A264)+1,0)</f>
        <v>0</v>
      </c>
    </row>
    <row r="266" spans="1:1">
      <c r="A266" s="61">
        <f>IF(ISNUMBER(SEARCH(My_Sheet!$B$8,B266)),MAX($A$1:A265)+1,0)</f>
        <v>0</v>
      </c>
    </row>
    <row r="267" spans="1:1">
      <c r="A267" s="61">
        <f>IF(ISNUMBER(SEARCH(My_Sheet!$B$8,B267)),MAX($A$1:A266)+1,0)</f>
        <v>0</v>
      </c>
    </row>
    <row r="268" spans="1:1">
      <c r="A268" s="61">
        <f>IF(ISNUMBER(SEARCH(My_Sheet!$B$8,B268)),MAX($A$1:A267)+1,0)</f>
        <v>0</v>
      </c>
    </row>
    <row r="269" spans="1:1">
      <c r="A269" s="61">
        <f>IF(ISNUMBER(SEARCH(My_Sheet!$B$8,B269)),MAX($A$1:A268)+1,0)</f>
        <v>0</v>
      </c>
    </row>
    <row r="270" spans="1:1">
      <c r="A270" s="61">
        <f>IF(ISNUMBER(SEARCH(My_Sheet!$B$8,B270)),MAX($A$1:A269)+1,0)</f>
        <v>0</v>
      </c>
    </row>
    <row r="271" spans="1:1">
      <c r="A271" s="61">
        <f>IF(ISNUMBER(SEARCH(My_Sheet!$B$8,B271)),MAX($A$1:A270)+1,0)</f>
        <v>0</v>
      </c>
    </row>
    <row r="272" spans="1:1">
      <c r="A272" s="61">
        <f>IF(ISNUMBER(SEARCH(My_Sheet!$B$8,B272)),MAX($A$1:A271)+1,0)</f>
        <v>0</v>
      </c>
    </row>
    <row r="273" spans="1:1">
      <c r="A273" s="61">
        <f>IF(ISNUMBER(SEARCH(My_Sheet!$B$8,B273)),MAX($A$1:A272)+1,0)</f>
        <v>0</v>
      </c>
    </row>
    <row r="274" spans="1:1">
      <c r="A274" s="61">
        <f>IF(ISNUMBER(SEARCH(My_Sheet!$B$8,B274)),MAX($A$1:A273)+1,0)</f>
        <v>0</v>
      </c>
    </row>
    <row r="275" spans="1:1">
      <c r="A275" s="61">
        <f>IF(ISNUMBER(SEARCH(My_Sheet!$B$8,B275)),MAX($A$1:A274)+1,0)</f>
        <v>0</v>
      </c>
    </row>
    <row r="276" spans="1:1">
      <c r="A276" s="61">
        <f>IF(ISNUMBER(SEARCH(My_Sheet!$B$8,B276)),MAX($A$1:A275)+1,0)</f>
        <v>0</v>
      </c>
    </row>
    <row r="277" spans="1:1">
      <c r="A277" s="61">
        <f>IF(ISNUMBER(SEARCH(My_Sheet!$B$8,B277)),MAX($A$1:A276)+1,0)</f>
        <v>0</v>
      </c>
    </row>
    <row r="278" spans="1:1">
      <c r="A278" s="61">
        <f>IF(ISNUMBER(SEARCH(My_Sheet!$B$8,B278)),MAX($A$1:A277)+1,0)</f>
        <v>0</v>
      </c>
    </row>
    <row r="279" spans="1:1">
      <c r="A279" s="61">
        <f>IF(ISNUMBER(SEARCH(My_Sheet!$B$8,B279)),MAX($A$1:A278)+1,0)</f>
        <v>0</v>
      </c>
    </row>
    <row r="280" spans="1:1">
      <c r="A280" s="61">
        <f>IF(ISNUMBER(SEARCH(My_Sheet!$B$8,B280)),MAX($A$1:A279)+1,0)</f>
        <v>0</v>
      </c>
    </row>
    <row r="281" spans="1:1">
      <c r="A281" s="61">
        <f>IF(ISNUMBER(SEARCH(My_Sheet!$B$8,B281)),MAX($A$1:A280)+1,0)</f>
        <v>0</v>
      </c>
    </row>
    <row r="282" spans="1:1">
      <c r="A282" s="61">
        <f>IF(ISNUMBER(SEARCH(My_Sheet!$B$8,B282)),MAX($A$1:A281)+1,0)</f>
        <v>0</v>
      </c>
    </row>
    <row r="283" spans="1:1">
      <c r="A283" s="61">
        <f>IF(ISNUMBER(SEARCH(My_Sheet!$B$8,B283)),MAX($A$1:A282)+1,0)</f>
        <v>0</v>
      </c>
    </row>
    <row r="284" spans="1:1">
      <c r="A284" s="61">
        <f>IF(ISNUMBER(SEARCH(My_Sheet!$B$8,B284)),MAX($A$1:A283)+1,0)</f>
        <v>0</v>
      </c>
    </row>
    <row r="285" spans="1:1">
      <c r="A285" s="61">
        <f>IF(ISNUMBER(SEARCH(My_Sheet!$B$8,B285)),MAX($A$1:A284)+1,0)</f>
        <v>0</v>
      </c>
    </row>
    <row r="286" spans="1:1">
      <c r="A286" s="61">
        <f>IF(ISNUMBER(SEARCH(My_Sheet!$B$8,B286)),MAX($A$1:A285)+1,0)</f>
        <v>0</v>
      </c>
    </row>
    <row r="287" spans="1:1">
      <c r="A287" s="61">
        <f>IF(ISNUMBER(SEARCH(My_Sheet!$B$8,B287)),MAX($A$1:A286)+1,0)</f>
        <v>0</v>
      </c>
    </row>
    <row r="288" spans="1:1">
      <c r="A288" s="61">
        <f>IF(ISNUMBER(SEARCH(My_Sheet!$B$8,B288)),MAX($A$1:A287)+1,0)</f>
        <v>0</v>
      </c>
    </row>
    <row r="289" spans="1:1">
      <c r="A289" s="61">
        <f>IF(ISNUMBER(SEARCH(My_Sheet!$B$8,B289)),MAX($A$1:A288)+1,0)</f>
        <v>0</v>
      </c>
    </row>
    <row r="290" spans="1:1">
      <c r="A290" s="61">
        <f>IF(ISNUMBER(SEARCH(My_Sheet!$B$8,B290)),MAX($A$1:A289)+1,0)</f>
        <v>0</v>
      </c>
    </row>
    <row r="291" spans="1:1">
      <c r="A291" s="61">
        <f>IF(ISNUMBER(SEARCH(My_Sheet!$B$8,B291)),MAX($A$1:A290)+1,0)</f>
        <v>0</v>
      </c>
    </row>
    <row r="292" spans="1:1">
      <c r="A292" s="61">
        <f>IF(ISNUMBER(SEARCH(My_Sheet!$B$8,B292)),MAX($A$1:A291)+1,0)</f>
        <v>0</v>
      </c>
    </row>
    <row r="293" spans="1:1">
      <c r="A293" s="61">
        <f>IF(ISNUMBER(SEARCH(My_Sheet!$B$8,B293)),MAX($A$1:A292)+1,0)</f>
        <v>0</v>
      </c>
    </row>
    <row r="294" spans="1:1">
      <c r="A294" s="61">
        <f>IF(ISNUMBER(SEARCH(My_Sheet!$B$8,B294)),MAX($A$1:A293)+1,0)</f>
        <v>0</v>
      </c>
    </row>
    <row r="295" spans="1:1">
      <c r="A295" s="61">
        <f>IF(ISNUMBER(SEARCH(My_Sheet!$B$8,B295)),MAX($A$1:A294)+1,0)</f>
        <v>0</v>
      </c>
    </row>
    <row r="296" spans="1:1">
      <c r="A296" s="61">
        <f>IF(ISNUMBER(SEARCH(My_Sheet!$B$8,B296)),MAX($A$1:A295)+1,0)</f>
        <v>0</v>
      </c>
    </row>
    <row r="297" spans="1:1">
      <c r="A297" s="61">
        <f>IF(ISNUMBER(SEARCH(My_Sheet!$B$8,B297)),MAX($A$1:A296)+1,0)</f>
        <v>0</v>
      </c>
    </row>
    <row r="298" spans="1:1">
      <c r="A298" s="61">
        <f>IF(ISNUMBER(SEARCH(My_Sheet!$B$8,B298)),MAX($A$1:A297)+1,0)</f>
        <v>0</v>
      </c>
    </row>
    <row r="299" spans="1:1">
      <c r="A299" s="61">
        <f>IF(ISNUMBER(SEARCH(My_Sheet!$B$8,B299)),MAX($A$1:A298)+1,0)</f>
        <v>0</v>
      </c>
    </row>
    <row r="300" spans="1:1">
      <c r="A300" s="61">
        <f>IF(ISNUMBER(SEARCH(My_Sheet!$B$8,B300)),MAX($A$1:A299)+1,0)</f>
        <v>0</v>
      </c>
    </row>
    <row r="301" spans="1:1">
      <c r="A301" s="61">
        <f>IF(ISNUMBER(SEARCH(My_Sheet!$B$8,B301)),MAX($A$1:A300)+1,0)</f>
        <v>0</v>
      </c>
    </row>
    <row r="302" spans="1:1">
      <c r="A302" s="61">
        <f>IF(ISNUMBER(SEARCH(My_Sheet!$B$8,B302)),MAX($A$1:A301)+1,0)</f>
        <v>0</v>
      </c>
    </row>
    <row r="303" spans="1:1">
      <c r="A303" s="61">
        <f>IF(ISNUMBER(SEARCH(My_Sheet!$B$8,B303)),MAX($A$1:A302)+1,0)</f>
        <v>0</v>
      </c>
    </row>
    <row r="304" spans="1:1">
      <c r="A304" s="61">
        <f>IF(ISNUMBER(SEARCH(My_Sheet!$B$8,B304)),MAX($A$1:A303)+1,0)</f>
        <v>0</v>
      </c>
    </row>
    <row r="305" spans="1:1">
      <c r="A305" s="61">
        <f>IF(ISNUMBER(SEARCH(My_Sheet!$B$8,B305)),MAX($A$1:A304)+1,0)</f>
        <v>0</v>
      </c>
    </row>
    <row r="306" spans="1:1">
      <c r="A306" s="61">
        <f>IF(ISNUMBER(SEARCH(My_Sheet!$B$8,B306)),MAX($A$1:A305)+1,0)</f>
        <v>0</v>
      </c>
    </row>
    <row r="307" spans="1:1">
      <c r="A307" s="61">
        <f>IF(ISNUMBER(SEARCH(My_Sheet!$B$8,B307)),MAX($A$1:A306)+1,0)</f>
        <v>0</v>
      </c>
    </row>
    <row r="308" spans="1:1">
      <c r="A308" s="61">
        <f>IF(ISNUMBER(SEARCH(My_Sheet!$B$8,B308)),MAX($A$1:A307)+1,0)</f>
        <v>0</v>
      </c>
    </row>
    <row r="309" spans="1:1">
      <c r="A309" s="61">
        <f>IF(ISNUMBER(SEARCH(My_Sheet!$B$8,B309)),MAX($A$1:A308)+1,0)</f>
        <v>0</v>
      </c>
    </row>
    <row r="310" spans="1:1">
      <c r="A310" s="61">
        <f>IF(ISNUMBER(SEARCH(My_Sheet!$B$8,B310)),MAX($A$1:A309)+1,0)</f>
        <v>0</v>
      </c>
    </row>
    <row r="311" spans="1:1">
      <c r="A311" s="61">
        <f>IF(ISNUMBER(SEARCH(My_Sheet!$B$8,B311)),MAX($A$1:A310)+1,0)</f>
        <v>0</v>
      </c>
    </row>
    <row r="312" spans="1:1">
      <c r="A312" s="61">
        <f>IF(ISNUMBER(SEARCH(My_Sheet!$B$8,B312)),MAX($A$1:A311)+1,0)</f>
        <v>0</v>
      </c>
    </row>
    <row r="313" spans="1:1">
      <c r="A313" s="61">
        <f>IF(ISNUMBER(SEARCH(My_Sheet!$B$8,B313)),MAX($A$1:A312)+1,0)</f>
        <v>0</v>
      </c>
    </row>
    <row r="314" spans="1:1">
      <c r="A314" s="61">
        <f>IF(ISNUMBER(SEARCH(My_Sheet!$B$8,B314)),MAX($A$1:A313)+1,0)</f>
        <v>0</v>
      </c>
    </row>
    <row r="315" spans="1:1">
      <c r="A315" s="61">
        <f>IF(ISNUMBER(SEARCH(My_Sheet!$B$8,B315)),MAX($A$1:A314)+1,0)</f>
        <v>0</v>
      </c>
    </row>
    <row r="316" spans="1:1">
      <c r="A316" s="61">
        <f>IF(ISNUMBER(SEARCH(My_Sheet!$B$8,B316)),MAX($A$1:A315)+1,0)</f>
        <v>0</v>
      </c>
    </row>
    <row r="317" spans="1:1">
      <c r="A317" s="61">
        <f>IF(ISNUMBER(SEARCH(My_Sheet!$B$8,B317)),MAX($A$1:A316)+1,0)</f>
        <v>0</v>
      </c>
    </row>
    <row r="318" spans="1:1">
      <c r="A318" s="61">
        <f>IF(ISNUMBER(SEARCH(My_Sheet!$B$8,B318)),MAX($A$1:A317)+1,0)</f>
        <v>0</v>
      </c>
    </row>
    <row r="319" spans="1:1">
      <c r="A319" s="61">
        <f>IF(ISNUMBER(SEARCH(My_Sheet!$B$8,B319)),MAX($A$1:A318)+1,0)</f>
        <v>0</v>
      </c>
    </row>
    <row r="320" spans="1:1">
      <c r="A320" s="61">
        <f>IF(ISNUMBER(SEARCH(My_Sheet!$B$8,B320)),MAX($A$1:A319)+1,0)</f>
        <v>0</v>
      </c>
    </row>
    <row r="321" spans="1:1">
      <c r="A321" s="61">
        <f>IF(ISNUMBER(SEARCH(My_Sheet!$B$8,B321)),MAX($A$1:A320)+1,0)</f>
        <v>0</v>
      </c>
    </row>
    <row r="322" spans="1:1">
      <c r="A322" s="61">
        <f>IF(ISNUMBER(SEARCH(My_Sheet!$B$8,B322)),MAX($A$1:A321)+1,0)</f>
        <v>0</v>
      </c>
    </row>
    <row r="323" spans="1:1">
      <c r="A323" s="61">
        <f>IF(ISNUMBER(SEARCH(My_Sheet!$B$8,B323)),MAX($A$1:A322)+1,0)</f>
        <v>0</v>
      </c>
    </row>
    <row r="324" spans="1:1">
      <c r="A324" s="61">
        <f>IF(ISNUMBER(SEARCH(My_Sheet!$B$8,B324)),MAX($A$1:A323)+1,0)</f>
        <v>0</v>
      </c>
    </row>
    <row r="325" spans="1:1">
      <c r="A325" s="61">
        <f>IF(ISNUMBER(SEARCH(My_Sheet!$B$8,B325)),MAX($A$1:A324)+1,0)</f>
        <v>0</v>
      </c>
    </row>
    <row r="326" spans="1:1">
      <c r="A326" s="61">
        <f>IF(ISNUMBER(SEARCH(My_Sheet!$B$8,B326)),MAX($A$1:A325)+1,0)</f>
        <v>0</v>
      </c>
    </row>
    <row r="327" spans="1:1">
      <c r="A327" s="61">
        <f>IF(ISNUMBER(SEARCH(My_Sheet!$B$8,B327)),MAX($A$1:A326)+1,0)</f>
        <v>0</v>
      </c>
    </row>
    <row r="328" spans="1:1">
      <c r="A328" s="61">
        <f>IF(ISNUMBER(SEARCH(My_Sheet!$B$8,B328)),MAX($A$1:A327)+1,0)</f>
        <v>0</v>
      </c>
    </row>
    <row r="329" spans="1:1">
      <c r="A329" s="61">
        <f>IF(ISNUMBER(SEARCH(My_Sheet!$B$8,B329)),MAX($A$1:A328)+1,0)</f>
        <v>0</v>
      </c>
    </row>
    <row r="330" spans="1:1">
      <c r="A330" s="61">
        <f>IF(ISNUMBER(SEARCH(My_Sheet!$B$8,B330)),MAX($A$1:A329)+1,0)</f>
        <v>0</v>
      </c>
    </row>
    <row r="331" spans="1:1">
      <c r="A331" s="61">
        <f>IF(ISNUMBER(SEARCH(My_Sheet!$B$8,B331)),MAX($A$1:A330)+1,0)</f>
        <v>0</v>
      </c>
    </row>
    <row r="332" spans="1:1">
      <c r="A332" s="61">
        <f>IF(ISNUMBER(SEARCH(My_Sheet!$B$8,B332)),MAX($A$1:A331)+1,0)</f>
        <v>0</v>
      </c>
    </row>
    <row r="333" spans="1:1">
      <c r="A333" s="61">
        <f>IF(ISNUMBER(SEARCH(My_Sheet!$B$8,B333)),MAX($A$1:A332)+1,0)</f>
        <v>0</v>
      </c>
    </row>
    <row r="334" spans="1:1">
      <c r="A334" s="61">
        <f>IF(ISNUMBER(SEARCH(My_Sheet!$B$8,B334)),MAX($A$1:A333)+1,0)</f>
        <v>0</v>
      </c>
    </row>
    <row r="335" spans="1:1">
      <c r="A335" s="61">
        <f>IF(ISNUMBER(SEARCH(My_Sheet!$B$8,B335)),MAX($A$1:A334)+1,0)</f>
        <v>0</v>
      </c>
    </row>
    <row r="336" spans="1:1">
      <c r="A336" s="61">
        <f>IF(ISNUMBER(SEARCH(My_Sheet!$B$8,B336)),MAX($A$1:A335)+1,0)</f>
        <v>0</v>
      </c>
    </row>
    <row r="337" spans="1:1">
      <c r="A337" s="61">
        <f>IF(ISNUMBER(SEARCH(My_Sheet!$B$8,B337)),MAX($A$1:A336)+1,0)</f>
        <v>0</v>
      </c>
    </row>
    <row r="338" spans="1:1">
      <c r="A338" s="61">
        <f>IF(ISNUMBER(SEARCH(My_Sheet!$B$8,B338)),MAX($A$1:A337)+1,0)</f>
        <v>0</v>
      </c>
    </row>
    <row r="339" spans="1:1">
      <c r="A339" s="61">
        <f>IF(ISNUMBER(SEARCH(My_Sheet!$B$8,B339)),MAX($A$1:A338)+1,0)</f>
        <v>0</v>
      </c>
    </row>
    <row r="340" spans="1:1">
      <c r="A340" s="61">
        <f>IF(ISNUMBER(SEARCH(My_Sheet!$B$8,B340)),MAX($A$1:A339)+1,0)</f>
        <v>0</v>
      </c>
    </row>
    <row r="341" spans="1:1">
      <c r="A341" s="61">
        <f>IF(ISNUMBER(SEARCH(My_Sheet!$B$8,B341)),MAX($A$1:A340)+1,0)</f>
        <v>0</v>
      </c>
    </row>
    <row r="342" spans="1:1">
      <c r="A342" s="61">
        <f>IF(ISNUMBER(SEARCH(My_Sheet!$B$8,B342)),MAX($A$1:A341)+1,0)</f>
        <v>0</v>
      </c>
    </row>
    <row r="343" spans="1:1">
      <c r="A343" s="61">
        <f>IF(ISNUMBER(SEARCH(My_Sheet!$B$8,B343)),MAX($A$1:A342)+1,0)</f>
        <v>0</v>
      </c>
    </row>
    <row r="344" spans="1:1">
      <c r="A344" s="61">
        <f>IF(ISNUMBER(SEARCH(My_Sheet!$B$8,B344)),MAX($A$1:A343)+1,0)</f>
        <v>0</v>
      </c>
    </row>
    <row r="345" spans="1:1">
      <c r="A345" s="61">
        <f>IF(ISNUMBER(SEARCH(My_Sheet!$B$8,B345)),MAX($A$1:A344)+1,0)</f>
        <v>0</v>
      </c>
    </row>
    <row r="346" spans="1:1">
      <c r="A346" s="61">
        <f>IF(ISNUMBER(SEARCH(My_Sheet!$B$8,B346)),MAX($A$1:A345)+1,0)</f>
        <v>0</v>
      </c>
    </row>
    <row r="347" spans="1:1">
      <c r="A347" s="61">
        <f>IF(ISNUMBER(SEARCH(My_Sheet!$B$8,B347)),MAX($A$1:A346)+1,0)</f>
        <v>0</v>
      </c>
    </row>
    <row r="348" spans="1:1">
      <c r="A348" s="61">
        <f>IF(ISNUMBER(SEARCH(My_Sheet!$B$8,B348)),MAX($A$1:A347)+1,0)</f>
        <v>0</v>
      </c>
    </row>
    <row r="349" spans="1:1">
      <c r="A349" s="61">
        <f>IF(ISNUMBER(SEARCH(My_Sheet!$B$8,B349)),MAX($A$1:A348)+1,0)</f>
        <v>0</v>
      </c>
    </row>
    <row r="350" spans="1:1">
      <c r="A350" s="61">
        <f>IF(ISNUMBER(SEARCH(My_Sheet!$B$8,B350)),MAX($A$1:A349)+1,0)</f>
        <v>0</v>
      </c>
    </row>
    <row r="351" spans="1:1">
      <c r="A351" s="61">
        <f>IF(ISNUMBER(SEARCH(My_Sheet!$B$8,B351)),MAX($A$1:A350)+1,0)</f>
        <v>0</v>
      </c>
    </row>
    <row r="352" spans="1:1">
      <c r="A352" s="61">
        <f>IF(ISNUMBER(SEARCH(My_Sheet!$B$8,B352)),MAX($A$1:A351)+1,0)</f>
        <v>0</v>
      </c>
    </row>
    <row r="353" spans="1:1">
      <c r="A353" s="61">
        <f>IF(ISNUMBER(SEARCH(My_Sheet!$B$8,B353)),MAX($A$1:A352)+1,0)</f>
        <v>0</v>
      </c>
    </row>
    <row r="354" spans="1:1">
      <c r="A354" s="61">
        <f>IF(ISNUMBER(SEARCH(My_Sheet!$B$8,B354)),MAX($A$1:A353)+1,0)</f>
        <v>0</v>
      </c>
    </row>
    <row r="355" spans="1:1">
      <c r="A355" s="61">
        <f>IF(ISNUMBER(SEARCH(My_Sheet!$B$8,B355)),MAX($A$1:A354)+1,0)</f>
        <v>0</v>
      </c>
    </row>
    <row r="356" spans="1:1">
      <c r="A356" s="61">
        <f>IF(ISNUMBER(SEARCH(My_Sheet!$B$8,B356)),MAX($A$1:A355)+1,0)</f>
        <v>0</v>
      </c>
    </row>
    <row r="357" spans="1:1">
      <c r="A357" s="61">
        <f>IF(ISNUMBER(SEARCH(My_Sheet!$B$8,B357)),MAX($A$1:A356)+1,0)</f>
        <v>0</v>
      </c>
    </row>
    <row r="358" spans="1:1">
      <c r="A358" s="61">
        <f>IF(ISNUMBER(SEARCH(My_Sheet!$B$8,B358)),MAX($A$1:A357)+1,0)</f>
        <v>0</v>
      </c>
    </row>
    <row r="359" spans="1:1">
      <c r="A359" s="61">
        <f>IF(ISNUMBER(SEARCH(My_Sheet!$B$8,B359)),MAX($A$1:A358)+1,0)</f>
        <v>0</v>
      </c>
    </row>
    <row r="360" spans="1:1">
      <c r="A360" s="61">
        <f>IF(ISNUMBER(SEARCH(My_Sheet!$B$8,B360)),MAX($A$1:A359)+1,0)</f>
        <v>0</v>
      </c>
    </row>
    <row r="361" spans="1:1">
      <c r="A361" s="61">
        <f>IF(ISNUMBER(SEARCH(My_Sheet!$B$8,B361)),MAX($A$1:A360)+1,0)</f>
        <v>0</v>
      </c>
    </row>
    <row r="362" spans="1:1">
      <c r="A362" s="61">
        <f>IF(ISNUMBER(SEARCH(My_Sheet!$B$8,B362)),MAX($A$1:A361)+1,0)</f>
        <v>0</v>
      </c>
    </row>
    <row r="363" spans="1:1">
      <c r="A363" s="61">
        <f>IF(ISNUMBER(SEARCH(My_Sheet!$B$8,B363)),MAX($A$1:A362)+1,0)</f>
        <v>0</v>
      </c>
    </row>
    <row r="364" spans="1:1">
      <c r="A364" s="61">
        <f>IF(ISNUMBER(SEARCH(My_Sheet!$B$8,B364)),MAX($A$1:A363)+1,0)</f>
        <v>0</v>
      </c>
    </row>
    <row r="365" spans="1:1">
      <c r="A365" s="61">
        <f>IF(ISNUMBER(SEARCH(My_Sheet!$B$8,B365)),MAX($A$1:A364)+1,0)</f>
        <v>0</v>
      </c>
    </row>
    <row r="366" spans="1:1">
      <c r="A366" s="61">
        <f>IF(ISNUMBER(SEARCH(My_Sheet!$B$8,B366)),MAX($A$1:A365)+1,0)</f>
        <v>0</v>
      </c>
    </row>
    <row r="367" spans="1:1">
      <c r="A367" s="61">
        <f>IF(ISNUMBER(SEARCH(My_Sheet!$B$8,B367)),MAX($A$1:A366)+1,0)</f>
        <v>0</v>
      </c>
    </row>
    <row r="368" spans="1:1">
      <c r="A368" s="61">
        <f>IF(ISNUMBER(SEARCH(My_Sheet!$B$8,B368)),MAX($A$1:A367)+1,0)</f>
        <v>0</v>
      </c>
    </row>
    <row r="369" spans="1:1">
      <c r="A369" s="61">
        <f>IF(ISNUMBER(SEARCH(My_Sheet!$B$8,B369)),MAX($A$1:A368)+1,0)</f>
        <v>0</v>
      </c>
    </row>
    <row r="370" spans="1:1">
      <c r="A370" s="61">
        <f>IF(ISNUMBER(SEARCH(My_Sheet!$B$8,B370)),MAX($A$1:A369)+1,0)</f>
        <v>0</v>
      </c>
    </row>
    <row r="371" spans="1:1">
      <c r="A371" s="61">
        <f>IF(ISNUMBER(SEARCH(My_Sheet!$B$8,B371)),MAX($A$1:A370)+1,0)</f>
        <v>0</v>
      </c>
    </row>
    <row r="372" spans="1:1">
      <c r="A372" s="61">
        <f>IF(ISNUMBER(SEARCH(My_Sheet!$B$8,B372)),MAX($A$1:A371)+1,0)</f>
        <v>0</v>
      </c>
    </row>
    <row r="373" spans="1:1">
      <c r="A373" s="61">
        <f>IF(ISNUMBER(SEARCH(My_Sheet!$B$8,B373)),MAX($A$1:A372)+1,0)</f>
        <v>0</v>
      </c>
    </row>
    <row r="374" spans="1:1">
      <c r="A374" s="61">
        <f>IF(ISNUMBER(SEARCH(My_Sheet!$B$8,B374)),MAX($A$1:A373)+1,0)</f>
        <v>0</v>
      </c>
    </row>
    <row r="375" spans="1:1">
      <c r="A375" s="61">
        <f>IF(ISNUMBER(SEARCH(My_Sheet!$B$8,B375)),MAX($A$1:A374)+1,0)</f>
        <v>0</v>
      </c>
    </row>
    <row r="376" spans="1:1">
      <c r="A376" s="61">
        <f>IF(ISNUMBER(SEARCH(My_Sheet!$B$8,B376)),MAX($A$1:A375)+1,0)</f>
        <v>0</v>
      </c>
    </row>
    <row r="377" spans="1:1">
      <c r="A377" s="61">
        <f>IF(ISNUMBER(SEARCH(My_Sheet!$B$8,B377)),MAX($A$1:A376)+1,0)</f>
        <v>0</v>
      </c>
    </row>
    <row r="378" spans="1:1">
      <c r="A378" s="61">
        <f>IF(ISNUMBER(SEARCH(My_Sheet!$B$8,B378)),MAX($A$1:A377)+1,0)</f>
        <v>0</v>
      </c>
    </row>
    <row r="379" spans="1:1">
      <c r="A379" s="61">
        <f>IF(ISNUMBER(SEARCH(My_Sheet!$B$8,B379)),MAX($A$1:A378)+1,0)</f>
        <v>0</v>
      </c>
    </row>
    <row r="380" spans="1:1">
      <c r="A380" s="61">
        <f>IF(ISNUMBER(SEARCH(My_Sheet!$B$8,B380)),MAX($A$1:A379)+1,0)</f>
        <v>0</v>
      </c>
    </row>
    <row r="381" spans="1:1">
      <c r="A381" s="61">
        <f>IF(ISNUMBER(SEARCH(My_Sheet!$B$8,B381)),MAX($A$1:A380)+1,0)</f>
        <v>0</v>
      </c>
    </row>
    <row r="382" spans="1:1">
      <c r="A382" s="61">
        <f>IF(ISNUMBER(SEARCH(My_Sheet!$B$8,B382)),MAX($A$1:A381)+1,0)</f>
        <v>0</v>
      </c>
    </row>
    <row r="383" spans="1:1">
      <c r="A383" s="61">
        <f>IF(ISNUMBER(SEARCH(My_Sheet!$B$8,B383)),MAX($A$1:A382)+1,0)</f>
        <v>0</v>
      </c>
    </row>
    <row r="384" spans="1:1">
      <c r="A384" s="61">
        <f>IF(ISNUMBER(SEARCH(My_Sheet!$B$8,B384)),MAX($A$1:A383)+1,0)</f>
        <v>0</v>
      </c>
    </row>
    <row r="385" spans="1:1">
      <c r="A385" s="61">
        <f>IF(ISNUMBER(SEARCH(My_Sheet!$B$8,B385)),MAX($A$1:A384)+1,0)</f>
        <v>0</v>
      </c>
    </row>
    <row r="386" spans="1:1">
      <c r="A386" s="61">
        <f>IF(ISNUMBER(SEARCH(My_Sheet!$B$8,B386)),MAX($A$1:A385)+1,0)</f>
        <v>0</v>
      </c>
    </row>
    <row r="387" spans="1:1">
      <c r="A387" s="61">
        <f>IF(ISNUMBER(SEARCH(My_Sheet!$B$8,B387)),MAX($A$1:A386)+1,0)</f>
        <v>0</v>
      </c>
    </row>
    <row r="388" spans="1:1">
      <c r="A388" s="61">
        <f>IF(ISNUMBER(SEARCH(My_Sheet!$B$8,B388)),MAX($A$1:A387)+1,0)</f>
        <v>0</v>
      </c>
    </row>
    <row r="389" spans="1:1">
      <c r="A389" s="61">
        <f>IF(ISNUMBER(SEARCH(My_Sheet!$B$8,B389)),MAX($A$1:A388)+1,0)</f>
        <v>0</v>
      </c>
    </row>
    <row r="390" spans="1:1">
      <c r="A390" s="61">
        <f>IF(ISNUMBER(SEARCH(My_Sheet!$B$8,B390)),MAX($A$1:A389)+1,0)</f>
        <v>0</v>
      </c>
    </row>
    <row r="391" spans="1:1">
      <c r="A391" s="61">
        <f>IF(ISNUMBER(SEARCH(My_Sheet!$B$8,B391)),MAX($A$1:A390)+1,0)</f>
        <v>0</v>
      </c>
    </row>
    <row r="392" spans="1:1">
      <c r="A392" s="61">
        <f>IF(ISNUMBER(SEARCH(My_Sheet!$B$8,B392)),MAX($A$1:A391)+1,0)</f>
        <v>0</v>
      </c>
    </row>
    <row r="393" spans="1:1">
      <c r="A393" s="61">
        <f>IF(ISNUMBER(SEARCH(My_Sheet!$B$8,B393)),MAX($A$1:A392)+1,0)</f>
        <v>0</v>
      </c>
    </row>
    <row r="394" spans="1:1">
      <c r="A394" s="61">
        <f>IF(ISNUMBER(SEARCH(My_Sheet!$B$8,B394)),MAX($A$1:A393)+1,0)</f>
        <v>0</v>
      </c>
    </row>
    <row r="395" spans="1:1">
      <c r="A395" s="61">
        <f>IF(ISNUMBER(SEARCH(My_Sheet!$B$8,B395)),MAX($A$1:A394)+1,0)</f>
        <v>0</v>
      </c>
    </row>
    <row r="396" spans="1:1">
      <c r="A396" s="61">
        <f>IF(ISNUMBER(SEARCH(My_Sheet!$B$8,B396)),MAX($A$1:A395)+1,0)</f>
        <v>0</v>
      </c>
    </row>
    <row r="397" spans="1:1">
      <c r="A397" s="61">
        <f>IF(ISNUMBER(SEARCH(My_Sheet!$B$8,B397)),MAX($A$1:A396)+1,0)</f>
        <v>0</v>
      </c>
    </row>
    <row r="398" spans="1:1">
      <c r="A398" s="61">
        <f>IF(ISNUMBER(SEARCH(My_Sheet!$B$8,B398)),MAX($A$1:A397)+1,0)</f>
        <v>0</v>
      </c>
    </row>
    <row r="399" spans="1:1">
      <c r="A399" s="61">
        <f>IF(ISNUMBER(SEARCH(My_Sheet!$B$8,B399)),MAX($A$1:A398)+1,0)</f>
        <v>0</v>
      </c>
    </row>
    <row r="400" spans="1:1">
      <c r="A400" s="61">
        <f>IF(ISNUMBER(SEARCH(My_Sheet!$B$8,B400)),MAX($A$1:A399)+1,0)</f>
        <v>0</v>
      </c>
    </row>
    <row r="401" spans="1:1">
      <c r="A401" s="61">
        <f>IF(ISNUMBER(SEARCH(My_Sheet!$B$8,B401)),MAX($A$1:A400)+1,0)</f>
        <v>0</v>
      </c>
    </row>
    <row r="402" spans="1:1">
      <c r="A402" s="61">
        <f>IF(ISNUMBER(SEARCH(My_Sheet!$B$8,B402)),MAX($A$1:A401)+1,0)</f>
        <v>0</v>
      </c>
    </row>
    <row r="403" spans="1:1">
      <c r="A403" s="61">
        <f>IF(ISNUMBER(SEARCH(My_Sheet!$B$8,B403)),MAX($A$1:A402)+1,0)</f>
        <v>0</v>
      </c>
    </row>
    <row r="404" spans="1:1">
      <c r="A404" s="61">
        <f>IF(ISNUMBER(SEARCH(My_Sheet!$B$8,B404)),MAX($A$1:A403)+1,0)</f>
        <v>0</v>
      </c>
    </row>
    <row r="405" spans="1:1">
      <c r="A405" s="61">
        <f>IF(ISNUMBER(SEARCH(My_Sheet!$B$8,B405)),MAX($A$1:A404)+1,0)</f>
        <v>0</v>
      </c>
    </row>
    <row r="406" spans="1:1">
      <c r="A406" s="61">
        <f>IF(ISNUMBER(SEARCH(My_Sheet!$B$8,B406)),MAX($A$1:A405)+1,0)</f>
        <v>0</v>
      </c>
    </row>
    <row r="407" spans="1:1">
      <c r="A407" s="61">
        <f>IF(ISNUMBER(SEARCH(My_Sheet!$B$8,B407)),MAX($A$1:A406)+1,0)</f>
        <v>0</v>
      </c>
    </row>
    <row r="408" spans="1:1">
      <c r="A408" s="61">
        <f>IF(ISNUMBER(SEARCH(My_Sheet!$B$8,B408)),MAX($A$1:A407)+1,0)</f>
        <v>0</v>
      </c>
    </row>
    <row r="409" spans="1:1">
      <c r="A409" s="61">
        <f>IF(ISNUMBER(SEARCH(My_Sheet!$B$8,B409)),MAX($A$1:A408)+1,0)</f>
        <v>0</v>
      </c>
    </row>
    <row r="410" spans="1:1">
      <c r="A410" s="61">
        <f>IF(ISNUMBER(SEARCH(My_Sheet!$B$8,B410)),MAX($A$1:A409)+1,0)</f>
        <v>0</v>
      </c>
    </row>
    <row r="411" spans="1:1">
      <c r="A411" s="61">
        <f>IF(ISNUMBER(SEARCH(My_Sheet!$B$8,B411)),MAX($A$1:A410)+1,0)</f>
        <v>0</v>
      </c>
    </row>
    <row r="412" spans="1:1">
      <c r="A412" s="61">
        <f>IF(ISNUMBER(SEARCH(My_Sheet!$B$8,B412)),MAX($A$1:A411)+1,0)</f>
        <v>0</v>
      </c>
    </row>
    <row r="413" spans="1:1">
      <c r="A413" s="61">
        <f>IF(ISNUMBER(SEARCH(My_Sheet!$B$8,B413)),MAX($A$1:A412)+1,0)</f>
        <v>0</v>
      </c>
    </row>
    <row r="414" spans="1:1">
      <c r="A414" s="61">
        <f>IF(ISNUMBER(SEARCH(My_Sheet!$B$8,B414)),MAX($A$1:A413)+1,0)</f>
        <v>0</v>
      </c>
    </row>
    <row r="415" spans="1:1">
      <c r="A415" s="61">
        <f>IF(ISNUMBER(SEARCH(My_Sheet!$B$8,B415)),MAX($A$1:A414)+1,0)</f>
        <v>0</v>
      </c>
    </row>
    <row r="416" spans="1:1">
      <c r="A416" s="61">
        <f>IF(ISNUMBER(SEARCH(My_Sheet!$B$8,B416)),MAX($A$1:A415)+1,0)</f>
        <v>0</v>
      </c>
    </row>
    <row r="417" spans="1:1">
      <c r="A417" s="61">
        <f>IF(ISNUMBER(SEARCH(My_Sheet!$B$8,B417)),MAX($A$1:A416)+1,0)</f>
        <v>0</v>
      </c>
    </row>
    <row r="418" spans="1:1">
      <c r="A418" s="61">
        <f>IF(ISNUMBER(SEARCH(My_Sheet!$B$8,B418)),MAX($A$1:A417)+1,0)</f>
        <v>0</v>
      </c>
    </row>
    <row r="419" spans="1:1">
      <c r="A419" s="61">
        <f>IF(ISNUMBER(SEARCH(My_Sheet!$B$8,B419)),MAX($A$1:A418)+1,0)</f>
        <v>0</v>
      </c>
    </row>
    <row r="420" spans="1:1">
      <c r="A420" s="61">
        <f>IF(ISNUMBER(SEARCH(My_Sheet!$B$8,B420)),MAX($A$1:A419)+1,0)</f>
        <v>0</v>
      </c>
    </row>
    <row r="421" spans="1:1">
      <c r="A421" s="61">
        <f>IF(ISNUMBER(SEARCH(My_Sheet!$B$8,B421)),MAX($A$1:A420)+1,0)</f>
        <v>0</v>
      </c>
    </row>
    <row r="422" spans="1:1">
      <c r="A422" s="61">
        <f>IF(ISNUMBER(SEARCH(My_Sheet!$B$8,B422)),MAX($A$1:A421)+1,0)</f>
        <v>0</v>
      </c>
    </row>
    <row r="423" spans="1:1">
      <c r="A423" s="61">
        <f>IF(ISNUMBER(SEARCH(My_Sheet!$B$8,B423)),MAX($A$1:A422)+1,0)</f>
        <v>0</v>
      </c>
    </row>
    <row r="424" spans="1:1">
      <c r="A424" s="61">
        <f>IF(ISNUMBER(SEARCH(My_Sheet!$B$8,B424)),MAX($A$1:A423)+1,0)</f>
        <v>0</v>
      </c>
    </row>
    <row r="425" spans="1:1">
      <c r="A425" s="61">
        <f>IF(ISNUMBER(SEARCH(My_Sheet!$B$8,B425)),MAX($A$1:A424)+1,0)</f>
        <v>0</v>
      </c>
    </row>
    <row r="426" spans="1:1">
      <c r="A426" s="61">
        <f>IF(ISNUMBER(SEARCH(My_Sheet!$B$8,B426)),MAX($A$1:A425)+1,0)</f>
        <v>0</v>
      </c>
    </row>
    <row r="427" spans="1:1">
      <c r="A427" s="61">
        <f>IF(ISNUMBER(SEARCH(My_Sheet!$B$8,B427)),MAX($A$1:A426)+1,0)</f>
        <v>0</v>
      </c>
    </row>
    <row r="428" spans="1:1">
      <c r="A428" s="61">
        <f>IF(ISNUMBER(SEARCH(My_Sheet!$B$8,B428)),MAX($A$1:A427)+1,0)</f>
        <v>0</v>
      </c>
    </row>
    <row r="429" spans="1:1">
      <c r="A429" s="61">
        <f>IF(ISNUMBER(SEARCH(My_Sheet!$B$8,B429)),MAX($A$1:A428)+1,0)</f>
        <v>0</v>
      </c>
    </row>
    <row r="430" spans="1:1">
      <c r="A430" s="61">
        <f>IF(ISNUMBER(SEARCH(My_Sheet!$B$8,B430)),MAX($A$1:A429)+1,0)</f>
        <v>0</v>
      </c>
    </row>
    <row r="431" spans="1:1">
      <c r="A431" s="61">
        <f>IF(ISNUMBER(SEARCH(My_Sheet!$B$8,B431)),MAX($A$1:A430)+1,0)</f>
        <v>0</v>
      </c>
    </row>
    <row r="432" spans="1:1">
      <c r="A432" s="61">
        <f>IF(ISNUMBER(SEARCH(My_Sheet!$B$8,B432)),MAX($A$1:A431)+1,0)</f>
        <v>0</v>
      </c>
    </row>
    <row r="433" spans="1:1">
      <c r="A433" s="61">
        <f>IF(ISNUMBER(SEARCH(My_Sheet!$B$8,B433)),MAX($A$1:A432)+1,0)</f>
        <v>0</v>
      </c>
    </row>
    <row r="434" spans="1:1">
      <c r="A434" s="61">
        <f>IF(ISNUMBER(SEARCH(My_Sheet!$B$8,B434)),MAX($A$1:A433)+1,0)</f>
        <v>0</v>
      </c>
    </row>
    <row r="435" spans="1:1">
      <c r="A435" s="61">
        <f>IF(ISNUMBER(SEARCH(My_Sheet!$B$8,B435)),MAX($A$1:A434)+1,0)</f>
        <v>0</v>
      </c>
    </row>
    <row r="436" spans="1:1">
      <c r="A436" s="61">
        <f>IF(ISNUMBER(SEARCH(My_Sheet!$B$8,B436)),MAX($A$1:A435)+1,0)</f>
        <v>0</v>
      </c>
    </row>
    <row r="437" spans="1:1">
      <c r="A437" s="61">
        <f>IF(ISNUMBER(SEARCH(My_Sheet!$B$8,B437)),MAX($A$1:A436)+1,0)</f>
        <v>0</v>
      </c>
    </row>
    <row r="438" spans="1:1">
      <c r="A438" s="61">
        <f>IF(ISNUMBER(SEARCH(My_Sheet!$B$8,B438)),MAX($A$1:A437)+1,0)</f>
        <v>0</v>
      </c>
    </row>
    <row r="439" spans="1:1">
      <c r="A439" s="61">
        <f>IF(ISNUMBER(SEARCH(My_Sheet!$B$8,B439)),MAX($A$1:A438)+1,0)</f>
        <v>0</v>
      </c>
    </row>
    <row r="440" spans="1:1">
      <c r="A440" s="61">
        <f>IF(ISNUMBER(SEARCH(My_Sheet!$B$8,B440)),MAX($A$1:A439)+1,0)</f>
        <v>0</v>
      </c>
    </row>
    <row r="441" spans="1:1">
      <c r="A441" s="61">
        <f>IF(ISNUMBER(SEARCH(My_Sheet!$B$8,B441)),MAX($A$1:A440)+1,0)</f>
        <v>0</v>
      </c>
    </row>
    <row r="442" spans="1:1">
      <c r="A442" s="61">
        <f>IF(ISNUMBER(SEARCH(My_Sheet!$B$8,B442)),MAX($A$1:A441)+1,0)</f>
        <v>0</v>
      </c>
    </row>
    <row r="443" spans="1:1">
      <c r="A443" s="61">
        <f>IF(ISNUMBER(SEARCH(My_Sheet!$B$8,B443)),MAX($A$1:A442)+1,0)</f>
        <v>0</v>
      </c>
    </row>
    <row r="444" spans="1:1">
      <c r="A444" s="61">
        <f>IF(ISNUMBER(SEARCH(My_Sheet!$B$8,B444)),MAX($A$1:A443)+1,0)</f>
        <v>0</v>
      </c>
    </row>
    <row r="445" spans="1:1">
      <c r="A445" s="61">
        <f>IF(ISNUMBER(SEARCH(My_Sheet!$B$8,B445)),MAX($A$1:A444)+1,0)</f>
        <v>0</v>
      </c>
    </row>
    <row r="446" spans="1:1">
      <c r="A446" s="61">
        <f>IF(ISNUMBER(SEARCH(My_Sheet!$B$8,B446)),MAX($A$1:A445)+1,0)</f>
        <v>0</v>
      </c>
    </row>
    <row r="447" spans="1:1">
      <c r="A447" s="61">
        <f>IF(ISNUMBER(SEARCH(My_Sheet!$B$8,B447)),MAX($A$1:A446)+1,0)</f>
        <v>0</v>
      </c>
    </row>
    <row r="448" spans="1:1">
      <c r="A448" s="61">
        <f>IF(ISNUMBER(SEARCH(My_Sheet!$B$8,B448)),MAX($A$1:A447)+1,0)</f>
        <v>0</v>
      </c>
    </row>
    <row r="449" spans="1:1">
      <c r="A449" s="61">
        <f>IF(ISNUMBER(SEARCH(My_Sheet!$B$8,B449)),MAX($A$1:A448)+1,0)</f>
        <v>0</v>
      </c>
    </row>
    <row r="450" spans="1:1">
      <c r="A450" s="61">
        <f>IF(ISNUMBER(SEARCH(My_Sheet!$B$8,B450)),MAX($A$1:A449)+1,0)</f>
        <v>0</v>
      </c>
    </row>
    <row r="451" spans="1:1">
      <c r="A451" s="61">
        <f>IF(ISNUMBER(SEARCH(My_Sheet!$B$8,B451)),MAX($A$1:A450)+1,0)</f>
        <v>0</v>
      </c>
    </row>
    <row r="452" spans="1:1">
      <c r="A452" s="61">
        <f>IF(ISNUMBER(SEARCH(My_Sheet!$B$8,B452)),MAX($A$1:A451)+1,0)</f>
        <v>0</v>
      </c>
    </row>
    <row r="453" spans="1:1">
      <c r="A453" s="61">
        <f>IF(ISNUMBER(SEARCH(My_Sheet!$B$8,B453)),MAX($A$1:A452)+1,0)</f>
        <v>0</v>
      </c>
    </row>
    <row r="454" spans="1:1">
      <c r="A454" s="61">
        <f>IF(ISNUMBER(SEARCH(My_Sheet!$B$8,B454)),MAX($A$1:A453)+1,0)</f>
        <v>0</v>
      </c>
    </row>
    <row r="455" spans="1:1">
      <c r="A455" s="61">
        <f>IF(ISNUMBER(SEARCH(My_Sheet!$B$8,B455)),MAX($A$1:A454)+1,0)</f>
        <v>0</v>
      </c>
    </row>
    <row r="456" spans="1:1">
      <c r="A456" s="61">
        <f>IF(ISNUMBER(SEARCH(My_Sheet!$B$8,B456)),MAX($A$1:A455)+1,0)</f>
        <v>0</v>
      </c>
    </row>
    <row r="457" spans="1:1">
      <c r="A457" s="61">
        <f>IF(ISNUMBER(SEARCH(My_Sheet!$B$8,B457)),MAX($A$1:A456)+1,0)</f>
        <v>0</v>
      </c>
    </row>
    <row r="458" spans="1:1">
      <c r="A458" s="61">
        <f>IF(ISNUMBER(SEARCH(My_Sheet!$B$8,B458)),MAX($A$1:A457)+1,0)</f>
        <v>0</v>
      </c>
    </row>
    <row r="459" spans="1:1">
      <c r="A459" s="61">
        <f>IF(ISNUMBER(SEARCH(My_Sheet!$B$8,B459)),MAX($A$1:A458)+1,0)</f>
        <v>0</v>
      </c>
    </row>
    <row r="460" spans="1:1">
      <c r="A460" s="61">
        <f>IF(ISNUMBER(SEARCH(My_Sheet!$B$8,B460)),MAX($A$1:A459)+1,0)</f>
        <v>0</v>
      </c>
    </row>
    <row r="461" spans="1:1">
      <c r="A461" s="61">
        <f>IF(ISNUMBER(SEARCH(My_Sheet!$B$8,B461)),MAX($A$1:A460)+1,0)</f>
        <v>0</v>
      </c>
    </row>
    <row r="462" spans="1:1">
      <c r="A462" s="61">
        <f>IF(ISNUMBER(SEARCH(My_Sheet!$B$8,B462)),MAX($A$1:A461)+1,0)</f>
        <v>0</v>
      </c>
    </row>
    <row r="463" spans="1:1">
      <c r="A463" s="61">
        <f>IF(ISNUMBER(SEARCH(My_Sheet!$B$8,B463)),MAX($A$1:A462)+1,0)</f>
        <v>0</v>
      </c>
    </row>
    <row r="464" spans="1:1">
      <c r="A464" s="61">
        <f>IF(ISNUMBER(SEARCH(My_Sheet!$B$8,B464)),MAX($A$1:A463)+1,0)</f>
        <v>0</v>
      </c>
    </row>
    <row r="465" spans="1:1">
      <c r="A465" s="61">
        <f>IF(ISNUMBER(SEARCH(My_Sheet!$B$8,B465)),MAX($A$1:A464)+1,0)</f>
        <v>0</v>
      </c>
    </row>
    <row r="466" spans="1:1">
      <c r="A466" s="61">
        <f>IF(ISNUMBER(SEARCH(My_Sheet!$B$8,B466)),MAX($A$1:A465)+1,0)</f>
        <v>0</v>
      </c>
    </row>
    <row r="467" spans="1:1">
      <c r="A467" s="61">
        <f>IF(ISNUMBER(SEARCH(My_Sheet!$B$8,B467)),MAX($A$1:A466)+1,0)</f>
        <v>0</v>
      </c>
    </row>
    <row r="468" spans="1:1">
      <c r="A468" s="61">
        <f>IF(ISNUMBER(SEARCH(My_Sheet!$B$8,B468)),MAX($A$1:A467)+1,0)</f>
        <v>0</v>
      </c>
    </row>
    <row r="469" spans="1:1">
      <c r="A469" s="61">
        <f>IF(ISNUMBER(SEARCH(My_Sheet!$B$8,B469)),MAX($A$1:A468)+1,0)</f>
        <v>0</v>
      </c>
    </row>
    <row r="470" spans="1:1">
      <c r="A470" s="61">
        <f>IF(ISNUMBER(SEARCH(My_Sheet!$B$8,B470)),MAX($A$1:A469)+1,0)</f>
        <v>0</v>
      </c>
    </row>
    <row r="471" spans="1:1">
      <c r="A471" s="61">
        <f>IF(ISNUMBER(SEARCH(My_Sheet!$B$8,B471)),MAX($A$1:A470)+1,0)</f>
        <v>0</v>
      </c>
    </row>
    <row r="472" spans="1:1">
      <c r="A472" s="61">
        <f>IF(ISNUMBER(SEARCH(My_Sheet!$B$8,B472)),MAX($A$1:A471)+1,0)</f>
        <v>0</v>
      </c>
    </row>
    <row r="473" spans="1:1">
      <c r="A473" s="61">
        <f>IF(ISNUMBER(SEARCH(My_Sheet!$B$8,B473)),MAX($A$1:A472)+1,0)</f>
        <v>0</v>
      </c>
    </row>
    <row r="474" spans="1:1">
      <c r="A474" s="61">
        <f>IF(ISNUMBER(SEARCH(My_Sheet!$B$8,B474)),MAX($A$1:A473)+1,0)</f>
        <v>0</v>
      </c>
    </row>
    <row r="475" spans="1:1">
      <c r="A475" s="61">
        <f>IF(ISNUMBER(SEARCH(My_Sheet!$B$8,B475)),MAX($A$1:A474)+1,0)</f>
        <v>0</v>
      </c>
    </row>
    <row r="476" spans="1:1">
      <c r="A476" s="61">
        <f>IF(ISNUMBER(SEARCH(My_Sheet!$B$8,B476)),MAX($A$1:A475)+1,0)</f>
        <v>0</v>
      </c>
    </row>
    <row r="477" spans="1:1">
      <c r="A477" s="61">
        <f>IF(ISNUMBER(SEARCH(My_Sheet!$B$8,B477)),MAX($A$1:A476)+1,0)</f>
        <v>0</v>
      </c>
    </row>
    <row r="478" spans="1:1">
      <c r="A478" s="61">
        <f>IF(ISNUMBER(SEARCH(My_Sheet!$B$8,B478)),MAX($A$1:A477)+1,0)</f>
        <v>0</v>
      </c>
    </row>
    <row r="479" spans="1:1">
      <c r="A479" s="61">
        <f>IF(ISNUMBER(SEARCH(My_Sheet!$B$8,B479)),MAX($A$1:A478)+1,0)</f>
        <v>0</v>
      </c>
    </row>
    <row r="480" spans="1:1">
      <c r="A480" s="61">
        <f>IF(ISNUMBER(SEARCH(My_Sheet!$B$8,B480)),MAX($A$1:A479)+1,0)</f>
        <v>0</v>
      </c>
    </row>
    <row r="481" spans="1:1">
      <c r="A481" s="61">
        <f>IF(ISNUMBER(SEARCH(My_Sheet!$B$8,B481)),MAX($A$1:A480)+1,0)</f>
        <v>0</v>
      </c>
    </row>
    <row r="482" spans="1:1">
      <c r="A482" s="61">
        <f>IF(ISNUMBER(SEARCH(My_Sheet!$B$8,B482)),MAX($A$1:A481)+1,0)</f>
        <v>0</v>
      </c>
    </row>
    <row r="483" spans="1:1">
      <c r="A483" s="61">
        <f>IF(ISNUMBER(SEARCH(My_Sheet!$B$8,B483)),MAX($A$1:A482)+1,0)</f>
        <v>0</v>
      </c>
    </row>
    <row r="484" spans="1:1">
      <c r="A484" s="61">
        <f>IF(ISNUMBER(SEARCH(My_Sheet!$B$8,B484)),MAX($A$1:A483)+1,0)</f>
        <v>0</v>
      </c>
    </row>
    <row r="485" spans="1:1">
      <c r="A485" s="61">
        <f>IF(ISNUMBER(SEARCH(My_Sheet!$B$8,B485)),MAX($A$1:A484)+1,0)</f>
        <v>0</v>
      </c>
    </row>
    <row r="486" spans="1:1">
      <c r="A486" s="61">
        <f>IF(ISNUMBER(SEARCH(My_Sheet!$B$8,B486)),MAX($A$1:A485)+1,0)</f>
        <v>0</v>
      </c>
    </row>
    <row r="487" spans="1:1">
      <c r="A487" s="61">
        <f>IF(ISNUMBER(SEARCH(My_Sheet!$B$8,B487)),MAX($A$1:A486)+1,0)</f>
        <v>0</v>
      </c>
    </row>
    <row r="488" spans="1:1">
      <c r="A488" s="61">
        <f>IF(ISNUMBER(SEARCH(My_Sheet!$B$8,B488)),MAX($A$1:A487)+1,0)</f>
        <v>0</v>
      </c>
    </row>
    <row r="489" spans="1:1">
      <c r="A489" s="61">
        <f>IF(ISNUMBER(SEARCH(My_Sheet!$B$8,B489)),MAX($A$1:A488)+1,0)</f>
        <v>0</v>
      </c>
    </row>
    <row r="490" spans="1:1">
      <c r="A490" s="61">
        <f>IF(ISNUMBER(SEARCH(My_Sheet!$B$8,B490)),MAX($A$1:A489)+1,0)</f>
        <v>0</v>
      </c>
    </row>
    <row r="491" spans="1:1">
      <c r="A491" s="61">
        <f>IF(ISNUMBER(SEARCH(My_Sheet!$B$8,B491)),MAX($A$1:A490)+1,0)</f>
        <v>0</v>
      </c>
    </row>
    <row r="492" spans="1:1">
      <c r="A492" s="61">
        <f>IF(ISNUMBER(SEARCH(My_Sheet!$B$8,B492)),MAX($A$1:A491)+1,0)</f>
        <v>0</v>
      </c>
    </row>
    <row r="493" spans="1:1">
      <c r="A493" s="61">
        <f>IF(ISNUMBER(SEARCH(My_Sheet!$B$8,B493)),MAX($A$1:A492)+1,0)</f>
        <v>0</v>
      </c>
    </row>
    <row r="494" spans="1:1">
      <c r="A494" s="61">
        <f>IF(ISNUMBER(SEARCH(My_Sheet!$B$8,B494)),MAX($A$1:A493)+1,0)</f>
        <v>0</v>
      </c>
    </row>
    <row r="495" spans="1:1">
      <c r="A495" s="61">
        <f>IF(ISNUMBER(SEARCH(My_Sheet!$B$8,B495)),MAX($A$1:A494)+1,0)</f>
        <v>0</v>
      </c>
    </row>
    <row r="496" spans="1:1">
      <c r="A496" s="61">
        <f>IF(ISNUMBER(SEARCH(My_Sheet!$B$8,B496)),MAX($A$1:A495)+1,0)</f>
        <v>0</v>
      </c>
    </row>
    <row r="497" spans="1:1">
      <c r="A497" s="61">
        <f>IF(ISNUMBER(SEARCH(My_Sheet!$B$8,B497)),MAX($A$1:A496)+1,0)</f>
        <v>0</v>
      </c>
    </row>
    <row r="498" spans="1:1">
      <c r="A498" s="61">
        <f>IF(ISNUMBER(SEARCH(My_Sheet!$B$8,B498)),MAX($A$1:A497)+1,0)</f>
        <v>0</v>
      </c>
    </row>
    <row r="499" spans="1:1">
      <c r="A499" s="61">
        <f>IF(ISNUMBER(SEARCH(My_Sheet!$B$8,B499)),MAX($A$1:A498)+1,0)</f>
        <v>0</v>
      </c>
    </row>
    <row r="500" spans="1:1">
      <c r="A500" s="61">
        <f>IF(ISNUMBER(SEARCH(My_Sheet!$B$8,B500)),MAX($A$1:A499)+1,0)</f>
        <v>0</v>
      </c>
    </row>
    <row r="501" spans="1:1">
      <c r="A501" s="61">
        <f>IF(ISNUMBER(SEARCH(My_Sheet!$B$8,B501)),MAX($A$1:A500)+1,0)</f>
        <v>0</v>
      </c>
    </row>
    <row r="502" spans="1:1">
      <c r="A502" s="61">
        <f>IF(ISNUMBER(SEARCH(My_Sheet!$B$8,B502)),MAX($A$1:A501)+1,0)</f>
        <v>0</v>
      </c>
    </row>
    <row r="503" spans="1:1">
      <c r="A503" s="61">
        <f>IF(ISNUMBER(SEARCH(My_Sheet!$B$8,B503)),MAX($A$1:A502)+1,0)</f>
        <v>0</v>
      </c>
    </row>
    <row r="504" spans="1:1">
      <c r="A504" s="61">
        <f>IF(ISNUMBER(SEARCH(My_Sheet!$B$8,B504)),MAX($A$1:A503)+1,0)</f>
        <v>0</v>
      </c>
    </row>
    <row r="505" spans="1:1">
      <c r="A505" s="61">
        <f>IF(ISNUMBER(SEARCH(My_Sheet!$B$8,B505)),MAX($A$1:A504)+1,0)</f>
        <v>0</v>
      </c>
    </row>
    <row r="506" spans="1:1">
      <c r="A506" s="61">
        <f>IF(ISNUMBER(SEARCH(My_Sheet!$B$8,B506)),MAX($A$1:A505)+1,0)</f>
        <v>0</v>
      </c>
    </row>
    <row r="507" spans="1:1">
      <c r="A507" s="61">
        <f>IF(ISNUMBER(SEARCH(My_Sheet!$B$8,B507)),MAX($A$1:A506)+1,0)</f>
        <v>0</v>
      </c>
    </row>
    <row r="508" spans="1:1">
      <c r="A508" s="61">
        <f>IF(ISNUMBER(SEARCH(My_Sheet!$B$8,B508)),MAX($A$1:A507)+1,0)</f>
        <v>0</v>
      </c>
    </row>
    <row r="509" spans="1:1">
      <c r="A509" s="61">
        <f>IF(ISNUMBER(SEARCH(My_Sheet!$B$8,B509)),MAX($A$1:A508)+1,0)</f>
        <v>0</v>
      </c>
    </row>
    <row r="510" spans="1:1">
      <c r="A510" s="61">
        <f>IF(ISNUMBER(SEARCH(My_Sheet!$B$8,B510)),MAX($A$1:A509)+1,0)</f>
        <v>0</v>
      </c>
    </row>
    <row r="511" spans="1:1">
      <c r="A511" s="61">
        <f>IF(ISNUMBER(SEARCH(My_Sheet!$B$8,B511)),MAX($A$1:A510)+1,0)</f>
        <v>0</v>
      </c>
    </row>
    <row r="512" spans="1:1">
      <c r="A512" s="61">
        <f>IF(ISNUMBER(SEARCH(My_Sheet!$B$8,B512)),MAX($A$1:A511)+1,0)</f>
        <v>0</v>
      </c>
    </row>
    <row r="513" spans="1:1">
      <c r="A513" s="61">
        <f>IF(ISNUMBER(SEARCH(My_Sheet!$B$8,B513)),MAX($A$1:A512)+1,0)</f>
        <v>0</v>
      </c>
    </row>
    <row r="514" spans="1:1">
      <c r="A514" s="61">
        <f>IF(ISNUMBER(SEARCH(My_Sheet!$B$8,B514)),MAX($A$1:A513)+1,0)</f>
        <v>0</v>
      </c>
    </row>
    <row r="515" spans="1:1">
      <c r="A515" s="61">
        <f>IF(ISNUMBER(SEARCH(My_Sheet!$B$8,B515)),MAX($A$1:A514)+1,0)</f>
        <v>0</v>
      </c>
    </row>
    <row r="516" spans="1:1">
      <c r="A516" s="61">
        <f>IF(ISNUMBER(SEARCH(My_Sheet!$B$8,B516)),MAX($A$1:A515)+1,0)</f>
        <v>0</v>
      </c>
    </row>
    <row r="517" spans="1:1">
      <c r="A517" s="61">
        <f>IF(ISNUMBER(SEARCH(My_Sheet!$B$8,B517)),MAX($A$1:A516)+1,0)</f>
        <v>0</v>
      </c>
    </row>
    <row r="518" spans="1:1">
      <c r="A518" s="61">
        <f>IF(ISNUMBER(SEARCH(My_Sheet!$B$8,B518)),MAX($A$1:A517)+1,0)</f>
        <v>0</v>
      </c>
    </row>
    <row r="519" spans="1:1">
      <c r="A519" s="61">
        <f>IF(ISNUMBER(SEARCH(My_Sheet!$B$8,B519)),MAX($A$1:A518)+1,0)</f>
        <v>0</v>
      </c>
    </row>
    <row r="520" spans="1:1">
      <c r="A520" s="61">
        <f>IF(ISNUMBER(SEARCH(My_Sheet!$B$8,B520)),MAX($A$1:A519)+1,0)</f>
        <v>0</v>
      </c>
    </row>
    <row r="521" spans="1:1">
      <c r="A521" s="61">
        <f>IF(ISNUMBER(SEARCH(My_Sheet!$B$8,B521)),MAX($A$1:A520)+1,0)</f>
        <v>0</v>
      </c>
    </row>
    <row r="522" spans="1:1">
      <c r="A522" s="61">
        <f>IF(ISNUMBER(SEARCH(My_Sheet!$B$8,B522)),MAX($A$1:A521)+1,0)</f>
        <v>0</v>
      </c>
    </row>
    <row r="523" spans="1:1">
      <c r="A523" s="61">
        <f>IF(ISNUMBER(SEARCH(My_Sheet!$B$8,B523)),MAX($A$1:A522)+1,0)</f>
        <v>0</v>
      </c>
    </row>
    <row r="524" spans="1:1">
      <c r="A524" s="61">
        <f>IF(ISNUMBER(SEARCH(My_Sheet!$B$8,B524)),MAX($A$1:A523)+1,0)</f>
        <v>0</v>
      </c>
    </row>
    <row r="525" spans="1:1">
      <c r="A525" s="61">
        <f>IF(ISNUMBER(SEARCH(My_Sheet!$B$8,B525)),MAX($A$1:A524)+1,0)</f>
        <v>0</v>
      </c>
    </row>
    <row r="526" spans="1:1">
      <c r="A526" s="61">
        <f>IF(ISNUMBER(SEARCH(My_Sheet!$B$8,B526)),MAX($A$1:A525)+1,0)</f>
        <v>0</v>
      </c>
    </row>
    <row r="527" spans="1:1">
      <c r="A527" s="61">
        <f>IF(ISNUMBER(SEARCH(My_Sheet!$B$8,B527)),MAX($A$1:A526)+1,0)</f>
        <v>0</v>
      </c>
    </row>
    <row r="528" spans="1:1">
      <c r="A528" s="61">
        <f>IF(ISNUMBER(SEARCH(My_Sheet!$B$8,B528)),MAX($A$1:A527)+1,0)</f>
        <v>0</v>
      </c>
    </row>
    <row r="529" spans="1:1">
      <c r="A529" s="61">
        <f>IF(ISNUMBER(SEARCH(My_Sheet!$B$8,B529)),MAX($A$1:A528)+1,0)</f>
        <v>0</v>
      </c>
    </row>
    <row r="530" spans="1:1">
      <c r="A530" s="61">
        <f>IF(ISNUMBER(SEARCH(My_Sheet!$B$8,B530)),MAX($A$1:A529)+1,0)</f>
        <v>0</v>
      </c>
    </row>
    <row r="531" spans="1:1">
      <c r="A531" s="61">
        <f>IF(ISNUMBER(SEARCH(My_Sheet!$B$8,B531)),MAX($A$1:A530)+1,0)</f>
        <v>0</v>
      </c>
    </row>
    <row r="532" spans="1:1">
      <c r="A532" s="61">
        <f>IF(ISNUMBER(SEARCH(My_Sheet!$B$8,B532)),MAX($A$1:A531)+1,0)</f>
        <v>0</v>
      </c>
    </row>
    <row r="533" spans="1:1">
      <c r="A533" s="61">
        <f>IF(ISNUMBER(SEARCH(My_Sheet!$B$8,B533)),MAX($A$1:A532)+1,0)</f>
        <v>0</v>
      </c>
    </row>
    <row r="534" spans="1:1">
      <c r="A534" s="61">
        <f>IF(ISNUMBER(SEARCH(My_Sheet!$B$8,B534)),MAX($A$1:A533)+1,0)</f>
        <v>0</v>
      </c>
    </row>
    <row r="535" spans="1:1">
      <c r="A535" s="61">
        <f>IF(ISNUMBER(SEARCH(My_Sheet!$B$8,B535)),MAX($A$1:A534)+1,0)</f>
        <v>0</v>
      </c>
    </row>
    <row r="536" spans="1:1">
      <c r="A536" s="61">
        <f>IF(ISNUMBER(SEARCH(My_Sheet!$B$8,B536)),MAX($A$1:A535)+1,0)</f>
        <v>0</v>
      </c>
    </row>
    <row r="537" spans="1:1">
      <c r="A537" s="61">
        <f>IF(ISNUMBER(SEARCH(My_Sheet!$B$8,B537)),MAX($A$1:A536)+1,0)</f>
        <v>0</v>
      </c>
    </row>
    <row r="538" spans="1:1">
      <c r="A538" s="61">
        <f>IF(ISNUMBER(SEARCH(My_Sheet!$B$8,B538)),MAX($A$1:A537)+1,0)</f>
        <v>0</v>
      </c>
    </row>
    <row r="539" spans="1:1">
      <c r="A539" s="61">
        <f>IF(ISNUMBER(SEARCH(My_Sheet!$B$8,B539)),MAX($A$1:A538)+1,0)</f>
        <v>0</v>
      </c>
    </row>
    <row r="540" spans="1:1">
      <c r="A540" s="61">
        <f>IF(ISNUMBER(SEARCH(My_Sheet!$B$8,B540)),MAX($A$1:A539)+1,0)</f>
        <v>0</v>
      </c>
    </row>
    <row r="541" spans="1:1">
      <c r="A541" s="61">
        <f>IF(ISNUMBER(SEARCH(My_Sheet!$B$8,B541)),MAX($A$1:A540)+1,0)</f>
        <v>0</v>
      </c>
    </row>
    <row r="542" spans="1:1">
      <c r="A542" s="61">
        <f>IF(ISNUMBER(SEARCH(My_Sheet!$B$8,B542)),MAX($A$1:A541)+1,0)</f>
        <v>0</v>
      </c>
    </row>
    <row r="543" spans="1:1">
      <c r="A543" s="61">
        <f>IF(ISNUMBER(SEARCH(My_Sheet!$B$8,B543)),MAX($A$1:A542)+1,0)</f>
        <v>0</v>
      </c>
    </row>
    <row r="544" spans="1:1">
      <c r="A544" s="61">
        <f>IF(ISNUMBER(SEARCH(My_Sheet!$B$8,B544)),MAX($A$1:A543)+1,0)</f>
        <v>0</v>
      </c>
    </row>
    <row r="545" spans="1:1">
      <c r="A545" s="61">
        <f>IF(ISNUMBER(SEARCH(My_Sheet!$B$8,B545)),MAX($A$1:A544)+1,0)</f>
        <v>0</v>
      </c>
    </row>
    <row r="546" spans="1:1">
      <c r="A546" s="61">
        <f>IF(ISNUMBER(SEARCH(My_Sheet!$B$8,B546)),MAX($A$1:A545)+1,0)</f>
        <v>0</v>
      </c>
    </row>
    <row r="547" spans="1:1">
      <c r="A547" s="61">
        <f>IF(ISNUMBER(SEARCH(My_Sheet!$B$8,B547)),MAX($A$1:A546)+1,0)</f>
        <v>0</v>
      </c>
    </row>
    <row r="548" spans="1:1">
      <c r="A548" s="61">
        <f>IF(ISNUMBER(SEARCH(My_Sheet!$B$8,B548)),MAX($A$1:A547)+1,0)</f>
        <v>0</v>
      </c>
    </row>
    <row r="549" spans="1:1">
      <c r="A549" s="61">
        <f>IF(ISNUMBER(SEARCH(My_Sheet!$B$8,B549)),MAX($A$1:A548)+1,0)</f>
        <v>0</v>
      </c>
    </row>
    <row r="550" spans="1:1">
      <c r="A550" s="61">
        <f>IF(ISNUMBER(SEARCH(My_Sheet!$B$8,B550)),MAX($A$1:A549)+1,0)</f>
        <v>0</v>
      </c>
    </row>
    <row r="551" spans="1:1">
      <c r="A551" s="61">
        <f>IF(ISNUMBER(SEARCH(My_Sheet!$B$8,B551)),MAX($A$1:A550)+1,0)</f>
        <v>0</v>
      </c>
    </row>
    <row r="552" spans="1:1">
      <c r="A552" s="61">
        <f>IF(ISNUMBER(SEARCH(My_Sheet!$B$8,B552)),MAX($A$1:A551)+1,0)</f>
        <v>0</v>
      </c>
    </row>
    <row r="553" spans="1:1">
      <c r="A553" s="61">
        <f>IF(ISNUMBER(SEARCH(My_Sheet!$B$8,B553)),MAX($A$1:A552)+1,0)</f>
        <v>0</v>
      </c>
    </row>
    <row r="554" spans="1:1">
      <c r="A554" s="61">
        <f>IF(ISNUMBER(SEARCH(My_Sheet!$B$8,B554)),MAX($A$1:A553)+1,0)</f>
        <v>0</v>
      </c>
    </row>
    <row r="555" spans="1:1">
      <c r="A555" s="61">
        <f>IF(ISNUMBER(SEARCH(My_Sheet!$B$8,B555)),MAX($A$1:A554)+1,0)</f>
        <v>0</v>
      </c>
    </row>
    <row r="556" spans="1:1">
      <c r="A556" s="61">
        <f>IF(ISNUMBER(SEARCH(My_Sheet!$B$8,B556)),MAX($A$1:A555)+1,0)</f>
        <v>0</v>
      </c>
    </row>
    <row r="557" spans="1:1">
      <c r="A557" s="61">
        <f>IF(ISNUMBER(SEARCH(My_Sheet!$B$8,B557)),MAX($A$1:A556)+1,0)</f>
        <v>0</v>
      </c>
    </row>
    <row r="558" spans="1:1">
      <c r="A558" s="61">
        <f>IF(ISNUMBER(SEARCH(My_Sheet!$B$8,B558)),MAX($A$1:A557)+1,0)</f>
        <v>0</v>
      </c>
    </row>
    <row r="559" spans="1:1">
      <c r="A559" s="61">
        <f>IF(ISNUMBER(SEARCH(My_Sheet!$B$8,B559)),MAX($A$1:A558)+1,0)</f>
        <v>0</v>
      </c>
    </row>
    <row r="560" spans="1:1">
      <c r="A560" s="61">
        <f>IF(ISNUMBER(SEARCH(My_Sheet!$B$8,B560)),MAX($A$1:A559)+1,0)</f>
        <v>0</v>
      </c>
    </row>
    <row r="561" spans="1:1">
      <c r="A561" s="61">
        <f>IF(ISNUMBER(SEARCH(My_Sheet!$B$8,B561)),MAX($A$1:A560)+1,0)</f>
        <v>0</v>
      </c>
    </row>
    <row r="562" spans="1:1">
      <c r="A562" s="61">
        <f>IF(ISNUMBER(SEARCH(My_Sheet!$B$8,B562)),MAX($A$1:A561)+1,0)</f>
        <v>0</v>
      </c>
    </row>
    <row r="563" spans="1:1">
      <c r="A563" s="61">
        <f>IF(ISNUMBER(SEARCH(My_Sheet!$B$8,B563)),MAX($A$1:A562)+1,0)</f>
        <v>0</v>
      </c>
    </row>
    <row r="564" spans="1:1">
      <c r="A564" s="61">
        <f>IF(ISNUMBER(SEARCH(My_Sheet!$B$8,B564)),MAX($A$1:A563)+1,0)</f>
        <v>0</v>
      </c>
    </row>
    <row r="565" spans="1:1">
      <c r="A565" s="61">
        <f>IF(ISNUMBER(SEARCH(My_Sheet!$B$8,B565)),MAX($A$1:A564)+1,0)</f>
        <v>0</v>
      </c>
    </row>
    <row r="566" spans="1:1">
      <c r="A566" s="61">
        <f>IF(ISNUMBER(SEARCH(My_Sheet!$B$8,B566)),MAX($A$1:A565)+1,0)</f>
        <v>0</v>
      </c>
    </row>
    <row r="567" spans="1:1">
      <c r="A567" s="61">
        <f>IF(ISNUMBER(SEARCH(My_Sheet!$B$8,B567)),MAX($A$1:A566)+1,0)</f>
        <v>0</v>
      </c>
    </row>
    <row r="568" spans="1:1">
      <c r="A568" s="61">
        <f>IF(ISNUMBER(SEARCH(My_Sheet!$B$8,B568)),MAX($A$1:A567)+1,0)</f>
        <v>0</v>
      </c>
    </row>
    <row r="569" spans="1:1">
      <c r="A569" s="61">
        <f>IF(ISNUMBER(SEARCH(My_Sheet!$B$8,B569)),MAX($A$1:A568)+1,0)</f>
        <v>0</v>
      </c>
    </row>
    <row r="570" spans="1:1">
      <c r="A570" s="61">
        <f>IF(ISNUMBER(SEARCH(My_Sheet!$B$8,B570)),MAX($A$1:A569)+1,0)</f>
        <v>0</v>
      </c>
    </row>
    <row r="571" spans="1:1">
      <c r="A571" s="61">
        <f>IF(ISNUMBER(SEARCH(My_Sheet!$B$8,B571)),MAX($A$1:A570)+1,0)</f>
        <v>0</v>
      </c>
    </row>
    <row r="572" spans="1:1">
      <c r="A572" s="61">
        <f>IF(ISNUMBER(SEARCH(My_Sheet!$B$8,B572)),MAX($A$1:A571)+1,0)</f>
        <v>0</v>
      </c>
    </row>
    <row r="573" spans="1:1">
      <c r="A573" s="61">
        <f>IF(ISNUMBER(SEARCH(My_Sheet!$B$8,B573)),MAX($A$1:A572)+1,0)</f>
        <v>0</v>
      </c>
    </row>
    <row r="574" spans="1:1">
      <c r="A574" s="61">
        <f>IF(ISNUMBER(SEARCH(My_Sheet!$B$8,B574)),MAX($A$1:A573)+1,0)</f>
        <v>0</v>
      </c>
    </row>
    <row r="575" spans="1:1">
      <c r="A575" s="61">
        <f>IF(ISNUMBER(SEARCH(My_Sheet!$B$8,B575)),MAX($A$1:A574)+1,0)</f>
        <v>0</v>
      </c>
    </row>
    <row r="576" spans="1:1">
      <c r="A576" s="61">
        <f>IF(ISNUMBER(SEARCH(My_Sheet!$B$8,B576)),MAX($A$1:A575)+1,0)</f>
        <v>0</v>
      </c>
    </row>
    <row r="577" spans="1:1">
      <c r="A577" s="61">
        <f>IF(ISNUMBER(SEARCH(My_Sheet!$B$8,B577)),MAX($A$1:A576)+1,0)</f>
        <v>0</v>
      </c>
    </row>
    <row r="578" spans="1:1">
      <c r="A578" s="61">
        <f>IF(ISNUMBER(SEARCH(My_Sheet!$B$8,B578)),MAX($A$1:A577)+1,0)</f>
        <v>0</v>
      </c>
    </row>
    <row r="579" spans="1:1">
      <c r="A579" s="61">
        <f>IF(ISNUMBER(SEARCH(My_Sheet!$B$8,B579)),MAX($A$1:A578)+1,0)</f>
        <v>0</v>
      </c>
    </row>
    <row r="580" spans="1:1">
      <c r="A580" s="61">
        <f>IF(ISNUMBER(SEARCH(My_Sheet!$B$8,B580)),MAX($A$1:A579)+1,0)</f>
        <v>0</v>
      </c>
    </row>
    <row r="581" spans="1:1">
      <c r="A581" s="61">
        <f>IF(ISNUMBER(SEARCH(My_Sheet!$B$8,B581)),MAX($A$1:A580)+1,0)</f>
        <v>0</v>
      </c>
    </row>
    <row r="582" spans="1:1">
      <c r="A582" s="61">
        <f>IF(ISNUMBER(SEARCH(My_Sheet!$B$8,B582)),MAX($A$1:A581)+1,0)</f>
        <v>0</v>
      </c>
    </row>
    <row r="583" spans="1:1">
      <c r="A583" s="61">
        <f>IF(ISNUMBER(SEARCH(My_Sheet!$B$8,B583)),MAX($A$1:A582)+1,0)</f>
        <v>0</v>
      </c>
    </row>
    <row r="584" spans="1:1">
      <c r="A584" s="61">
        <f>IF(ISNUMBER(SEARCH(My_Sheet!$B$8,B584)),MAX($A$1:A583)+1,0)</f>
        <v>0</v>
      </c>
    </row>
    <row r="585" spans="1:1">
      <c r="A585" s="61">
        <f>IF(ISNUMBER(SEARCH(My_Sheet!$B$8,B585)),MAX($A$1:A584)+1,0)</f>
        <v>0</v>
      </c>
    </row>
    <row r="586" spans="1:1">
      <c r="A586" s="61">
        <f>IF(ISNUMBER(SEARCH(My_Sheet!$B$8,B586)),MAX($A$1:A585)+1,0)</f>
        <v>0</v>
      </c>
    </row>
    <row r="587" spans="1:1">
      <c r="A587" s="61">
        <f>IF(ISNUMBER(SEARCH(My_Sheet!$B$8,B587)),MAX($A$1:A586)+1,0)</f>
        <v>0</v>
      </c>
    </row>
    <row r="588" spans="1:1">
      <c r="A588" s="61">
        <f>IF(ISNUMBER(SEARCH(My_Sheet!$B$8,B588)),MAX($A$1:A587)+1,0)</f>
        <v>0</v>
      </c>
    </row>
    <row r="589" spans="1:1">
      <c r="A589" s="61">
        <f>IF(ISNUMBER(SEARCH(My_Sheet!$B$8,B589)),MAX($A$1:A588)+1,0)</f>
        <v>0</v>
      </c>
    </row>
    <row r="590" spans="1:1">
      <c r="A590" s="61">
        <f>IF(ISNUMBER(SEARCH(My_Sheet!$B$8,B590)),MAX($A$1:A589)+1,0)</f>
        <v>0</v>
      </c>
    </row>
    <row r="591" spans="1:1">
      <c r="A591" s="61">
        <f>IF(ISNUMBER(SEARCH(My_Sheet!$B$8,B591)),MAX($A$1:A590)+1,0)</f>
        <v>0</v>
      </c>
    </row>
    <row r="592" spans="1:1">
      <c r="A592" s="61">
        <f>IF(ISNUMBER(SEARCH(My_Sheet!$B$8,B592)),MAX($A$1:A591)+1,0)</f>
        <v>0</v>
      </c>
    </row>
    <row r="593" spans="1:1">
      <c r="A593" s="61">
        <f>IF(ISNUMBER(SEARCH(My_Sheet!$B$8,B593)),MAX($A$1:A592)+1,0)</f>
        <v>0</v>
      </c>
    </row>
    <row r="594" spans="1:1">
      <c r="A594" s="61">
        <f>IF(ISNUMBER(SEARCH(My_Sheet!$B$8,B594)),MAX($A$1:A593)+1,0)</f>
        <v>0</v>
      </c>
    </row>
    <row r="595" spans="1:1">
      <c r="A595" s="61">
        <f>IF(ISNUMBER(SEARCH(My_Sheet!$B$8,B595)),MAX($A$1:A594)+1,0)</f>
        <v>0</v>
      </c>
    </row>
    <row r="596" spans="1:1">
      <c r="A596" s="61">
        <f>IF(ISNUMBER(SEARCH(My_Sheet!$B$8,B596)),MAX($A$1:A595)+1,0)</f>
        <v>0</v>
      </c>
    </row>
    <row r="597" spans="1:1">
      <c r="A597" s="61">
        <f>IF(ISNUMBER(SEARCH(My_Sheet!$B$8,B597)),MAX($A$1:A596)+1,0)</f>
        <v>0</v>
      </c>
    </row>
    <row r="598" spans="1:1">
      <c r="A598" s="61">
        <f>IF(ISNUMBER(SEARCH(My_Sheet!$B$8,B598)),MAX($A$1:A597)+1,0)</f>
        <v>0</v>
      </c>
    </row>
    <row r="599" spans="1:1">
      <c r="A599" s="61">
        <f>IF(ISNUMBER(SEARCH(My_Sheet!$B$8,B599)),MAX($A$1:A598)+1,0)</f>
        <v>0</v>
      </c>
    </row>
    <row r="600" spans="1:1">
      <c r="A600" s="61">
        <f>IF(ISNUMBER(SEARCH(My_Sheet!$B$8,B600)),MAX($A$1:A599)+1,0)</f>
        <v>0</v>
      </c>
    </row>
    <row r="601" spans="1:1">
      <c r="A601" s="61">
        <f>IF(ISNUMBER(SEARCH(My_Sheet!$B$8,B601)),MAX($A$1:A600)+1,0)</f>
        <v>0</v>
      </c>
    </row>
    <row r="602" spans="1:1">
      <c r="A602" s="61">
        <f>IF(ISNUMBER(SEARCH(My_Sheet!$B$8,B602)),MAX($A$1:A601)+1,0)</f>
        <v>0</v>
      </c>
    </row>
    <row r="603" spans="1:1">
      <c r="A603" s="61">
        <f>IF(ISNUMBER(SEARCH(My_Sheet!$B$8,B603)),MAX($A$1:A602)+1,0)</f>
        <v>0</v>
      </c>
    </row>
    <row r="604" spans="1:1">
      <c r="A604" s="61">
        <f>IF(ISNUMBER(SEARCH(My_Sheet!$B$8,B604)),MAX($A$1:A603)+1,0)</f>
        <v>0</v>
      </c>
    </row>
    <row r="605" spans="1:1">
      <c r="A605" s="61">
        <f>IF(ISNUMBER(SEARCH(My_Sheet!$B$8,B605)),MAX($A$1:A604)+1,0)</f>
        <v>0</v>
      </c>
    </row>
    <row r="606" spans="1:1">
      <c r="A606" s="61">
        <f>IF(ISNUMBER(SEARCH(My_Sheet!$B$8,B606)),MAX($A$1:A605)+1,0)</f>
        <v>0</v>
      </c>
    </row>
    <row r="607" spans="1:1">
      <c r="A607" s="61">
        <f>IF(ISNUMBER(SEARCH(My_Sheet!$B$8,B607)),MAX($A$1:A606)+1,0)</f>
        <v>0</v>
      </c>
    </row>
    <row r="608" spans="1:1">
      <c r="A608" s="61">
        <f>IF(ISNUMBER(SEARCH(My_Sheet!$B$8,B608)),MAX($A$1:A607)+1,0)</f>
        <v>0</v>
      </c>
    </row>
    <row r="609" spans="1:1">
      <c r="A609" s="61">
        <f>IF(ISNUMBER(SEARCH(My_Sheet!$B$8,B609)),MAX($A$1:A608)+1,0)</f>
        <v>0</v>
      </c>
    </row>
    <row r="610" spans="1:1">
      <c r="A610" s="61">
        <f>IF(ISNUMBER(SEARCH(My_Sheet!$B$8,B610)),MAX($A$1:A609)+1,0)</f>
        <v>0</v>
      </c>
    </row>
    <row r="611" spans="1:1">
      <c r="A611" s="61">
        <f>IF(ISNUMBER(SEARCH(My_Sheet!$B$8,B611)),MAX($A$1:A610)+1,0)</f>
        <v>0</v>
      </c>
    </row>
    <row r="612" spans="1:1">
      <c r="A612" s="61">
        <f>IF(ISNUMBER(SEARCH(My_Sheet!$B$8,B612)),MAX($A$1:A611)+1,0)</f>
        <v>0</v>
      </c>
    </row>
    <row r="613" spans="1:1">
      <c r="A613" s="61">
        <f>IF(ISNUMBER(SEARCH(My_Sheet!$B$8,B613)),MAX($A$1:A612)+1,0)</f>
        <v>0</v>
      </c>
    </row>
    <row r="614" spans="1:1">
      <c r="A614" s="61">
        <f>IF(ISNUMBER(SEARCH(My_Sheet!$B$8,B614)),MAX($A$1:A613)+1,0)</f>
        <v>0</v>
      </c>
    </row>
    <row r="615" spans="1:1">
      <c r="A615" s="61">
        <f>IF(ISNUMBER(SEARCH(My_Sheet!$B$8,B615)),MAX($A$1:A614)+1,0)</f>
        <v>0</v>
      </c>
    </row>
    <row r="616" spans="1:1">
      <c r="A616" s="61">
        <f>IF(ISNUMBER(SEARCH(My_Sheet!$B$8,B616)),MAX($A$1:A615)+1,0)</f>
        <v>0</v>
      </c>
    </row>
    <row r="617" spans="1:1">
      <c r="A617" s="61">
        <f>IF(ISNUMBER(SEARCH(My_Sheet!$B$8,B617)),MAX($A$1:A616)+1,0)</f>
        <v>0</v>
      </c>
    </row>
    <row r="618" spans="1:1">
      <c r="A618" s="61">
        <f>IF(ISNUMBER(SEARCH(My_Sheet!$B$8,B618)),MAX($A$1:A617)+1,0)</f>
        <v>0</v>
      </c>
    </row>
    <row r="619" spans="1:1">
      <c r="A619" s="61">
        <f>IF(ISNUMBER(SEARCH(My_Sheet!$B$8,B619)),MAX($A$1:A618)+1,0)</f>
        <v>0</v>
      </c>
    </row>
    <row r="620" spans="1:1">
      <c r="A620" s="61">
        <f>IF(ISNUMBER(SEARCH(My_Sheet!$B$8,B620)),MAX($A$1:A619)+1,0)</f>
        <v>0</v>
      </c>
    </row>
    <row r="621" spans="1:1">
      <c r="A621" s="61">
        <f>IF(ISNUMBER(SEARCH(My_Sheet!$B$8,B621)),MAX($A$1:A620)+1,0)</f>
        <v>0</v>
      </c>
    </row>
    <row r="622" spans="1:1">
      <c r="A622" s="61">
        <f>IF(ISNUMBER(SEARCH(My_Sheet!$B$8,B622)),MAX($A$1:A621)+1,0)</f>
        <v>0</v>
      </c>
    </row>
    <row r="623" spans="1:1">
      <c r="A623" s="61">
        <f>IF(ISNUMBER(SEARCH(My_Sheet!$B$8,B623)),MAX($A$1:A622)+1,0)</f>
        <v>0</v>
      </c>
    </row>
    <row r="624" spans="1:1">
      <c r="A624" s="61">
        <f>IF(ISNUMBER(SEARCH(My_Sheet!$B$8,B624)),MAX($A$1:A623)+1,0)</f>
        <v>0</v>
      </c>
    </row>
    <row r="625" spans="1:1">
      <c r="A625" s="61">
        <f>IF(ISNUMBER(SEARCH(My_Sheet!$B$8,B625)),MAX($A$1:A624)+1,0)</f>
        <v>0</v>
      </c>
    </row>
    <row r="626" spans="1:1">
      <c r="A626" s="61">
        <f>IF(ISNUMBER(SEARCH(My_Sheet!$B$8,B626)),MAX($A$1:A625)+1,0)</f>
        <v>0</v>
      </c>
    </row>
    <row r="627" spans="1:1">
      <c r="A627" s="61">
        <f>IF(ISNUMBER(SEARCH(My_Sheet!$B$8,B627)),MAX($A$1:A626)+1,0)</f>
        <v>0</v>
      </c>
    </row>
    <row r="628" spans="1:1">
      <c r="A628" s="61">
        <f>IF(ISNUMBER(SEARCH(My_Sheet!$B$8,B628)),MAX($A$1:A627)+1,0)</f>
        <v>0</v>
      </c>
    </row>
    <row r="629" spans="1:1">
      <c r="A629" s="61">
        <f>IF(ISNUMBER(SEARCH(My_Sheet!$B$8,B629)),MAX($A$1:A628)+1,0)</f>
        <v>0</v>
      </c>
    </row>
    <row r="630" spans="1:1">
      <c r="A630" s="61">
        <f>IF(ISNUMBER(SEARCH(My_Sheet!$B$8,B630)),MAX($A$1:A629)+1,0)</f>
        <v>0</v>
      </c>
    </row>
    <row r="631" spans="1:1">
      <c r="A631" s="61">
        <f>IF(ISNUMBER(SEARCH(My_Sheet!$B$8,B631)),MAX($A$1:A630)+1,0)</f>
        <v>0</v>
      </c>
    </row>
    <row r="632" spans="1:1">
      <c r="A632" s="61">
        <f>IF(ISNUMBER(SEARCH(My_Sheet!$B$8,B632)),MAX($A$1:A631)+1,0)</f>
        <v>0</v>
      </c>
    </row>
    <row r="633" spans="1:1">
      <c r="A633" s="61">
        <f>IF(ISNUMBER(SEARCH(My_Sheet!$B$8,B633)),MAX($A$1:A632)+1,0)</f>
        <v>0</v>
      </c>
    </row>
    <row r="634" spans="1:1">
      <c r="A634" s="61">
        <f>IF(ISNUMBER(SEARCH(My_Sheet!$B$8,B634)),MAX($A$1:A633)+1,0)</f>
        <v>0</v>
      </c>
    </row>
    <row r="635" spans="1:1">
      <c r="A635" s="61">
        <f>IF(ISNUMBER(SEARCH(My_Sheet!$B$8,B635)),MAX($A$1:A634)+1,0)</f>
        <v>0</v>
      </c>
    </row>
    <row r="636" spans="1:1">
      <c r="A636" s="61">
        <f>IF(ISNUMBER(SEARCH(My_Sheet!$B$8,B636)),MAX($A$1:A635)+1,0)</f>
        <v>0</v>
      </c>
    </row>
    <row r="637" spans="1:1">
      <c r="A637" s="61">
        <f>IF(ISNUMBER(SEARCH(My_Sheet!$B$8,B637)),MAX($A$1:A636)+1,0)</f>
        <v>0</v>
      </c>
    </row>
    <row r="638" spans="1:1">
      <c r="A638" s="61">
        <f>IF(ISNUMBER(SEARCH(My_Sheet!$B$8,B638)),MAX($A$1:A637)+1,0)</f>
        <v>0</v>
      </c>
    </row>
    <row r="639" spans="1:1">
      <c r="A639" s="61">
        <f>IF(ISNUMBER(SEARCH(My_Sheet!$B$8,B639)),MAX($A$1:A638)+1,0)</f>
        <v>0</v>
      </c>
    </row>
    <row r="640" spans="1:1">
      <c r="A640" s="61">
        <f>IF(ISNUMBER(SEARCH(My_Sheet!$B$8,B640)),MAX($A$1:A639)+1,0)</f>
        <v>0</v>
      </c>
    </row>
    <row r="641" spans="1:1">
      <c r="A641" s="61">
        <f>IF(ISNUMBER(SEARCH(My_Sheet!$B$8,B641)),MAX($A$1:A640)+1,0)</f>
        <v>0</v>
      </c>
    </row>
    <row r="642" spans="1:1">
      <c r="A642" s="61">
        <f>IF(ISNUMBER(SEARCH(My_Sheet!$B$8,B642)),MAX($A$1:A641)+1,0)</f>
        <v>0</v>
      </c>
    </row>
    <row r="643" spans="1:1">
      <c r="A643" s="61">
        <f>IF(ISNUMBER(SEARCH(My_Sheet!$B$8,B643)),MAX($A$1:A642)+1,0)</f>
        <v>0</v>
      </c>
    </row>
    <row r="644" spans="1:1">
      <c r="A644" s="61">
        <f>IF(ISNUMBER(SEARCH(My_Sheet!$B$8,B644)),MAX($A$1:A643)+1,0)</f>
        <v>0</v>
      </c>
    </row>
    <row r="645" spans="1:1">
      <c r="A645" s="61">
        <f>IF(ISNUMBER(SEARCH(My_Sheet!$B$8,B645)),MAX($A$1:A644)+1,0)</f>
        <v>0</v>
      </c>
    </row>
    <row r="646" spans="1:1">
      <c r="A646" s="61">
        <f>IF(ISNUMBER(SEARCH(My_Sheet!$B$8,B646)),MAX($A$1:A645)+1,0)</f>
        <v>0</v>
      </c>
    </row>
    <row r="647" spans="1:1">
      <c r="A647" s="61">
        <f>IF(ISNUMBER(SEARCH(My_Sheet!$B$8,B647)),MAX($A$1:A646)+1,0)</f>
        <v>0</v>
      </c>
    </row>
    <row r="648" spans="1:1">
      <c r="A648" s="61">
        <f>IF(ISNUMBER(SEARCH(My_Sheet!$B$8,B648)),MAX($A$1:A647)+1,0)</f>
        <v>0</v>
      </c>
    </row>
    <row r="649" spans="1:1">
      <c r="A649" s="61">
        <f>IF(ISNUMBER(SEARCH(My_Sheet!$B$8,B649)),MAX($A$1:A648)+1,0)</f>
        <v>0</v>
      </c>
    </row>
    <row r="650" spans="1:1">
      <c r="A650" s="61">
        <f>IF(ISNUMBER(SEARCH(My_Sheet!$B$8,B650)),MAX($A$1:A649)+1,0)</f>
        <v>0</v>
      </c>
    </row>
    <row r="651" spans="1:1">
      <c r="A651" s="61">
        <f>IF(ISNUMBER(SEARCH(My_Sheet!$B$8,B651)),MAX($A$1:A650)+1,0)</f>
        <v>0</v>
      </c>
    </row>
    <row r="652" spans="1:1">
      <c r="A652" s="61">
        <f>IF(ISNUMBER(SEARCH(My_Sheet!$B$8,B652)),MAX($A$1:A651)+1,0)</f>
        <v>0</v>
      </c>
    </row>
    <row r="653" spans="1:1">
      <c r="A653" s="61">
        <f>IF(ISNUMBER(SEARCH(My_Sheet!$B$8,B653)),MAX($A$1:A652)+1,0)</f>
        <v>0</v>
      </c>
    </row>
    <row r="654" spans="1:1">
      <c r="A654" s="61">
        <f>IF(ISNUMBER(SEARCH(My_Sheet!$B$8,B654)),MAX($A$1:A653)+1,0)</f>
        <v>0</v>
      </c>
    </row>
    <row r="655" spans="1:1">
      <c r="A655" s="61">
        <f>IF(ISNUMBER(SEARCH(My_Sheet!$B$8,B655)),MAX($A$1:A654)+1,0)</f>
        <v>0</v>
      </c>
    </row>
    <row r="656" spans="1:1">
      <c r="A656" s="61">
        <f>IF(ISNUMBER(SEARCH(My_Sheet!$B$8,B656)),MAX($A$1:A655)+1,0)</f>
        <v>0</v>
      </c>
    </row>
    <row r="657" spans="1:1">
      <c r="A657" s="61">
        <f>IF(ISNUMBER(SEARCH(My_Sheet!$B$8,B657)),MAX($A$1:A656)+1,0)</f>
        <v>0</v>
      </c>
    </row>
    <row r="658" spans="1:1">
      <c r="A658" s="61">
        <f>IF(ISNUMBER(SEARCH(My_Sheet!$B$8,B658)),MAX($A$1:A657)+1,0)</f>
        <v>0</v>
      </c>
    </row>
    <row r="659" spans="1:1">
      <c r="A659" s="61">
        <f>IF(ISNUMBER(SEARCH(My_Sheet!$B$8,B659)),MAX($A$1:A658)+1,0)</f>
        <v>0</v>
      </c>
    </row>
    <row r="660" spans="1:1">
      <c r="A660" s="61">
        <f>IF(ISNUMBER(SEARCH(My_Sheet!$B$8,B660)),MAX($A$1:A659)+1,0)</f>
        <v>0</v>
      </c>
    </row>
    <row r="661" spans="1:1">
      <c r="A661" s="61">
        <f>IF(ISNUMBER(SEARCH(My_Sheet!$B$8,B661)),MAX($A$1:A660)+1,0)</f>
        <v>0</v>
      </c>
    </row>
    <row r="662" spans="1:1">
      <c r="A662" s="61">
        <f>IF(ISNUMBER(SEARCH(My_Sheet!$B$8,B662)),MAX($A$1:A661)+1,0)</f>
        <v>0</v>
      </c>
    </row>
    <row r="663" spans="1:1">
      <c r="A663" s="61">
        <f>IF(ISNUMBER(SEARCH(My_Sheet!$B$8,B663)),MAX($A$1:A662)+1,0)</f>
        <v>0</v>
      </c>
    </row>
    <row r="664" spans="1:1">
      <c r="A664" s="61">
        <f>IF(ISNUMBER(SEARCH(My_Sheet!$B$8,B664)),MAX($A$1:A663)+1,0)</f>
        <v>0</v>
      </c>
    </row>
    <row r="665" spans="1:1">
      <c r="A665" s="61">
        <f>IF(ISNUMBER(SEARCH(My_Sheet!$B$8,B665)),MAX($A$1:A664)+1,0)</f>
        <v>0</v>
      </c>
    </row>
    <row r="666" spans="1:1">
      <c r="A666" s="61">
        <f>IF(ISNUMBER(SEARCH(My_Sheet!$B$8,B666)),MAX($A$1:A665)+1,0)</f>
        <v>0</v>
      </c>
    </row>
    <row r="667" spans="1:1">
      <c r="A667" s="61">
        <f>IF(ISNUMBER(SEARCH(My_Sheet!$B$8,B667)),MAX($A$1:A666)+1,0)</f>
        <v>0</v>
      </c>
    </row>
    <row r="668" spans="1:1">
      <c r="A668" s="61">
        <f>IF(ISNUMBER(SEARCH(My_Sheet!$B$8,B668)),MAX($A$1:A667)+1,0)</f>
        <v>0</v>
      </c>
    </row>
    <row r="669" spans="1:1">
      <c r="A669" s="61">
        <f>IF(ISNUMBER(SEARCH(My_Sheet!$B$8,B669)),MAX($A$1:A668)+1,0)</f>
        <v>0</v>
      </c>
    </row>
    <row r="670" spans="1:1">
      <c r="A670" s="61">
        <f>IF(ISNUMBER(SEARCH(My_Sheet!$B$8,B670)),MAX($A$1:A669)+1,0)</f>
        <v>0</v>
      </c>
    </row>
    <row r="671" spans="1:1">
      <c r="A671" s="61">
        <f>IF(ISNUMBER(SEARCH(My_Sheet!$B$8,B671)),MAX($A$1:A670)+1,0)</f>
        <v>0</v>
      </c>
    </row>
    <row r="672" spans="1:1">
      <c r="A672" s="61">
        <f>IF(ISNUMBER(SEARCH(My_Sheet!$B$8,B672)),MAX($A$1:A671)+1,0)</f>
        <v>0</v>
      </c>
    </row>
    <row r="673" spans="1:1">
      <c r="A673" s="61">
        <f>IF(ISNUMBER(SEARCH(My_Sheet!$B$8,B673)),MAX($A$1:A672)+1,0)</f>
        <v>0</v>
      </c>
    </row>
    <row r="674" spans="1:1">
      <c r="A674" s="61">
        <f>IF(ISNUMBER(SEARCH(My_Sheet!$B$8,B674)),MAX($A$1:A673)+1,0)</f>
        <v>0</v>
      </c>
    </row>
    <row r="675" spans="1:1">
      <c r="A675" s="61">
        <f>IF(ISNUMBER(SEARCH(My_Sheet!$B$8,B675)),MAX($A$1:A674)+1,0)</f>
        <v>0</v>
      </c>
    </row>
    <row r="676" spans="1:1">
      <c r="A676" s="61">
        <f>IF(ISNUMBER(SEARCH(My_Sheet!$B$8,B676)),MAX($A$1:A675)+1,0)</f>
        <v>0</v>
      </c>
    </row>
    <row r="677" spans="1:1">
      <c r="A677" s="61">
        <f>IF(ISNUMBER(SEARCH(My_Sheet!$B$8,B677)),MAX($A$1:A676)+1,0)</f>
        <v>0</v>
      </c>
    </row>
    <row r="678" spans="1:1">
      <c r="A678" s="61">
        <f>IF(ISNUMBER(SEARCH(My_Sheet!$B$8,B678)),MAX($A$1:A677)+1,0)</f>
        <v>0</v>
      </c>
    </row>
    <row r="679" spans="1:1">
      <c r="A679" s="61">
        <f>IF(ISNUMBER(SEARCH(My_Sheet!$B$8,B679)),MAX($A$1:A678)+1,0)</f>
        <v>0</v>
      </c>
    </row>
    <row r="680" spans="1:1">
      <c r="A680" s="61">
        <f>IF(ISNUMBER(SEARCH(My_Sheet!$B$8,B680)),MAX($A$1:A679)+1,0)</f>
        <v>0</v>
      </c>
    </row>
    <row r="681" spans="1:1">
      <c r="A681" s="61">
        <f>IF(ISNUMBER(SEARCH(My_Sheet!$B$8,B681)),MAX($A$1:A680)+1,0)</f>
        <v>0</v>
      </c>
    </row>
    <row r="682" spans="1:1">
      <c r="A682" s="61">
        <f>IF(ISNUMBER(SEARCH(My_Sheet!$B$8,B682)),MAX($A$1:A681)+1,0)</f>
        <v>0</v>
      </c>
    </row>
    <row r="683" spans="1:1">
      <c r="A683" s="61">
        <f>IF(ISNUMBER(SEARCH(My_Sheet!$B$8,B683)),MAX($A$1:A682)+1,0)</f>
        <v>0</v>
      </c>
    </row>
    <row r="684" spans="1:1">
      <c r="A684" s="61">
        <f>IF(ISNUMBER(SEARCH(My_Sheet!$B$8,B684)),MAX($A$1:A683)+1,0)</f>
        <v>0</v>
      </c>
    </row>
    <row r="685" spans="1:1">
      <c r="A685" s="61">
        <f>IF(ISNUMBER(SEARCH(My_Sheet!$B$8,B685)),MAX($A$1:A684)+1,0)</f>
        <v>0</v>
      </c>
    </row>
    <row r="686" spans="1:1">
      <c r="A686" s="61">
        <f>IF(ISNUMBER(SEARCH(My_Sheet!$B$8,B686)),MAX($A$1:A685)+1,0)</f>
        <v>0</v>
      </c>
    </row>
    <row r="687" spans="1:1">
      <c r="A687" s="61">
        <f>IF(ISNUMBER(SEARCH(My_Sheet!$B$8,B687)),MAX($A$1:A686)+1,0)</f>
        <v>0</v>
      </c>
    </row>
    <row r="688" spans="1:1">
      <c r="A688" s="61">
        <f>IF(ISNUMBER(SEARCH(My_Sheet!$B$8,B688)),MAX($A$1:A687)+1,0)</f>
        <v>0</v>
      </c>
    </row>
    <row r="689" spans="1:1">
      <c r="A689" s="61">
        <f>IF(ISNUMBER(SEARCH(My_Sheet!$B$8,B689)),MAX($A$1:A688)+1,0)</f>
        <v>0</v>
      </c>
    </row>
    <row r="690" spans="1:1">
      <c r="A690" s="61">
        <f>IF(ISNUMBER(SEARCH(My_Sheet!$B$8,B690)),MAX($A$1:A689)+1,0)</f>
        <v>0</v>
      </c>
    </row>
    <row r="691" spans="1:1">
      <c r="A691" s="61">
        <f>IF(ISNUMBER(SEARCH(My_Sheet!$B$8,B691)),MAX($A$1:A690)+1,0)</f>
        <v>0</v>
      </c>
    </row>
    <row r="692" spans="1:1">
      <c r="A692" s="61">
        <f>IF(ISNUMBER(SEARCH(My_Sheet!$B$8,B692)),MAX($A$1:A691)+1,0)</f>
        <v>0</v>
      </c>
    </row>
    <row r="693" spans="1:1">
      <c r="A693" s="61">
        <f>IF(ISNUMBER(SEARCH(My_Sheet!$B$8,B693)),MAX($A$1:A692)+1,0)</f>
        <v>0</v>
      </c>
    </row>
    <row r="694" spans="1:1">
      <c r="A694" s="61">
        <f>IF(ISNUMBER(SEARCH(My_Sheet!$B$8,B694)),MAX($A$1:A693)+1,0)</f>
        <v>0</v>
      </c>
    </row>
    <row r="695" spans="1:1">
      <c r="A695" s="61">
        <f>IF(ISNUMBER(SEARCH(My_Sheet!$B$8,B695)),MAX($A$1:A694)+1,0)</f>
        <v>0</v>
      </c>
    </row>
    <row r="696" spans="1:1">
      <c r="A696" s="61">
        <f>IF(ISNUMBER(SEARCH(My_Sheet!$B$8,B696)),MAX($A$1:A695)+1,0)</f>
        <v>0</v>
      </c>
    </row>
    <row r="697" spans="1:1">
      <c r="A697" s="61">
        <f>IF(ISNUMBER(SEARCH(My_Sheet!$B$8,B697)),MAX($A$1:A696)+1,0)</f>
        <v>0</v>
      </c>
    </row>
    <row r="698" spans="1:1">
      <c r="A698" s="61">
        <f>IF(ISNUMBER(SEARCH(My_Sheet!$B$8,B698)),MAX($A$1:A697)+1,0)</f>
        <v>0</v>
      </c>
    </row>
    <row r="699" spans="1:1">
      <c r="A699" s="61">
        <f>IF(ISNUMBER(SEARCH(My_Sheet!$B$8,B699)),MAX($A$1:A698)+1,0)</f>
        <v>0</v>
      </c>
    </row>
    <row r="700" spans="1:1">
      <c r="A700" s="61">
        <f>IF(ISNUMBER(SEARCH(My_Sheet!$B$8,B700)),MAX($A$1:A699)+1,0)</f>
        <v>0</v>
      </c>
    </row>
    <row r="701" spans="1:1">
      <c r="A701" s="61">
        <f>IF(ISNUMBER(SEARCH(My_Sheet!$B$8,B701)),MAX($A$1:A700)+1,0)</f>
        <v>0</v>
      </c>
    </row>
    <row r="702" spans="1:1">
      <c r="A702" s="61">
        <f>IF(ISNUMBER(SEARCH(My_Sheet!$B$8,B702)),MAX($A$1:A701)+1,0)</f>
        <v>0</v>
      </c>
    </row>
    <row r="703" spans="1:1">
      <c r="A703" s="61">
        <f>IF(ISNUMBER(SEARCH(My_Sheet!$B$8,B703)),MAX($A$1:A702)+1,0)</f>
        <v>0</v>
      </c>
    </row>
    <row r="704" spans="1:1">
      <c r="A704" s="61">
        <f>IF(ISNUMBER(SEARCH(My_Sheet!$B$8,B704)),MAX($A$1:A703)+1,0)</f>
        <v>0</v>
      </c>
    </row>
    <row r="705" spans="1:1">
      <c r="A705" s="61">
        <f>IF(ISNUMBER(SEARCH(My_Sheet!$B$8,B705)),MAX($A$1:A704)+1,0)</f>
        <v>0</v>
      </c>
    </row>
    <row r="706" spans="1:1">
      <c r="A706" s="61">
        <f>IF(ISNUMBER(SEARCH(My_Sheet!$B$8,B706)),MAX($A$1:A705)+1,0)</f>
        <v>0</v>
      </c>
    </row>
    <row r="707" spans="1:1">
      <c r="A707" s="61">
        <f>IF(ISNUMBER(SEARCH(My_Sheet!$B$8,B707)),MAX($A$1:A706)+1,0)</f>
        <v>0</v>
      </c>
    </row>
    <row r="708" spans="1:1">
      <c r="A708" s="61">
        <f>IF(ISNUMBER(SEARCH(My_Sheet!$B$8,B708)),MAX($A$1:A707)+1,0)</f>
        <v>0</v>
      </c>
    </row>
    <row r="709" spans="1:1">
      <c r="A709" s="61">
        <f>IF(ISNUMBER(SEARCH(My_Sheet!$B$8,B709)),MAX($A$1:A708)+1,0)</f>
        <v>0</v>
      </c>
    </row>
    <row r="710" spans="1:1">
      <c r="A710" s="61">
        <f>IF(ISNUMBER(SEARCH(My_Sheet!$B$8,B710)),MAX($A$1:A709)+1,0)</f>
        <v>0</v>
      </c>
    </row>
    <row r="711" spans="1:1">
      <c r="A711" s="61">
        <f>IF(ISNUMBER(SEARCH(My_Sheet!$B$8,B711)),MAX($A$1:A710)+1,0)</f>
        <v>0</v>
      </c>
    </row>
    <row r="712" spans="1:1">
      <c r="A712" s="61">
        <f>IF(ISNUMBER(SEARCH(My_Sheet!$B$8,B712)),MAX($A$1:A711)+1,0)</f>
        <v>0</v>
      </c>
    </row>
    <row r="713" spans="1:1">
      <c r="A713" s="61">
        <f>IF(ISNUMBER(SEARCH(My_Sheet!$B$8,B713)),MAX($A$1:A712)+1,0)</f>
        <v>0</v>
      </c>
    </row>
    <row r="714" spans="1:1">
      <c r="A714" s="61">
        <f>IF(ISNUMBER(SEARCH(My_Sheet!$B$8,B714)),MAX($A$1:A713)+1,0)</f>
        <v>0</v>
      </c>
    </row>
    <row r="715" spans="1:1">
      <c r="A715" s="61">
        <f>IF(ISNUMBER(SEARCH(My_Sheet!$B$8,B715)),MAX($A$1:A714)+1,0)</f>
        <v>0</v>
      </c>
    </row>
    <row r="716" spans="1:1">
      <c r="A716" s="61">
        <f>IF(ISNUMBER(SEARCH(My_Sheet!$B$8,B716)),MAX($A$1:A715)+1,0)</f>
        <v>0</v>
      </c>
    </row>
    <row r="717" spans="1:1">
      <c r="A717" s="61">
        <f>IF(ISNUMBER(SEARCH(My_Sheet!$B$8,B717)),MAX($A$1:A716)+1,0)</f>
        <v>0</v>
      </c>
    </row>
    <row r="718" spans="1:1">
      <c r="A718" s="61">
        <f>IF(ISNUMBER(SEARCH(My_Sheet!$B$8,B718)),MAX($A$1:A717)+1,0)</f>
        <v>0</v>
      </c>
    </row>
    <row r="719" spans="1:1">
      <c r="A719" s="61">
        <f>IF(ISNUMBER(SEARCH(My_Sheet!$B$8,B719)),MAX($A$1:A718)+1,0)</f>
        <v>0</v>
      </c>
    </row>
    <row r="720" spans="1:1">
      <c r="A720" s="61">
        <f>IF(ISNUMBER(SEARCH(My_Sheet!$B$8,B720)),MAX($A$1:A719)+1,0)</f>
        <v>0</v>
      </c>
    </row>
    <row r="721" spans="1:1">
      <c r="A721" s="61">
        <f>IF(ISNUMBER(SEARCH(My_Sheet!$B$8,B721)),MAX($A$1:A720)+1,0)</f>
        <v>0</v>
      </c>
    </row>
    <row r="722" spans="1:1">
      <c r="A722" s="61">
        <f>IF(ISNUMBER(SEARCH(My_Sheet!$B$8,B722)),MAX($A$1:A721)+1,0)</f>
        <v>0</v>
      </c>
    </row>
    <row r="723" spans="1:1">
      <c r="A723" s="61">
        <f>IF(ISNUMBER(SEARCH(My_Sheet!$B$8,B723)),MAX($A$1:A722)+1,0)</f>
        <v>0</v>
      </c>
    </row>
    <row r="724" spans="1:1">
      <c r="A724" s="61">
        <f>IF(ISNUMBER(SEARCH(My_Sheet!$B$8,B724)),MAX($A$1:A723)+1,0)</f>
        <v>0</v>
      </c>
    </row>
    <row r="725" spans="1:1">
      <c r="A725" s="61">
        <f>IF(ISNUMBER(SEARCH(My_Sheet!$B$8,B725)),MAX($A$1:A724)+1,0)</f>
        <v>0</v>
      </c>
    </row>
    <row r="726" spans="1:1">
      <c r="A726" s="61">
        <f>IF(ISNUMBER(SEARCH(My_Sheet!$B$8,B726)),MAX($A$1:A725)+1,0)</f>
        <v>0</v>
      </c>
    </row>
    <row r="727" spans="1:1">
      <c r="A727" s="61">
        <f>IF(ISNUMBER(SEARCH(My_Sheet!$B$8,B727)),MAX($A$1:A726)+1,0)</f>
        <v>0</v>
      </c>
    </row>
    <row r="728" spans="1:1">
      <c r="A728" s="61">
        <f>IF(ISNUMBER(SEARCH(My_Sheet!$B$8,B728)),MAX($A$1:A727)+1,0)</f>
        <v>0</v>
      </c>
    </row>
    <row r="729" spans="1:1">
      <c r="A729" s="61">
        <f>IF(ISNUMBER(SEARCH(My_Sheet!$B$8,B729)),MAX($A$1:A728)+1,0)</f>
        <v>0</v>
      </c>
    </row>
    <row r="730" spans="1:1">
      <c r="A730" s="61">
        <f>IF(ISNUMBER(SEARCH(My_Sheet!$B$8,B730)),MAX($A$1:A729)+1,0)</f>
        <v>0</v>
      </c>
    </row>
    <row r="731" spans="1:1">
      <c r="A731" s="61">
        <f>IF(ISNUMBER(SEARCH(My_Sheet!$B$8,B731)),MAX($A$1:A730)+1,0)</f>
        <v>0</v>
      </c>
    </row>
    <row r="732" spans="1:1">
      <c r="A732" s="61">
        <f>IF(ISNUMBER(SEARCH(My_Sheet!$B$8,B732)),MAX($A$1:A731)+1,0)</f>
        <v>0</v>
      </c>
    </row>
    <row r="733" spans="1:1">
      <c r="A733" s="61">
        <f>IF(ISNUMBER(SEARCH(My_Sheet!$B$8,B733)),MAX($A$1:A732)+1,0)</f>
        <v>0</v>
      </c>
    </row>
    <row r="734" spans="1:1">
      <c r="A734" s="61">
        <f>IF(ISNUMBER(SEARCH(My_Sheet!$B$8,B734)),MAX($A$1:A733)+1,0)</f>
        <v>0</v>
      </c>
    </row>
    <row r="735" spans="1:1">
      <c r="A735" s="61">
        <f>IF(ISNUMBER(SEARCH(My_Sheet!$B$8,B735)),MAX($A$1:A734)+1,0)</f>
        <v>0</v>
      </c>
    </row>
    <row r="736" spans="1:1">
      <c r="A736" s="61">
        <f>IF(ISNUMBER(SEARCH(My_Sheet!$B$8,B736)),MAX($A$1:A735)+1,0)</f>
        <v>0</v>
      </c>
    </row>
    <row r="737" spans="1:1">
      <c r="A737" s="61">
        <f>IF(ISNUMBER(SEARCH(My_Sheet!$B$8,B737)),MAX($A$1:A736)+1,0)</f>
        <v>0</v>
      </c>
    </row>
    <row r="738" spans="1:1">
      <c r="A738" s="61">
        <f>IF(ISNUMBER(SEARCH(My_Sheet!$B$8,B738)),MAX($A$1:A737)+1,0)</f>
        <v>0</v>
      </c>
    </row>
    <row r="739" spans="1:1">
      <c r="A739" s="61">
        <f>IF(ISNUMBER(SEARCH(My_Sheet!$B$8,B739)),MAX($A$1:A738)+1,0)</f>
        <v>0</v>
      </c>
    </row>
    <row r="740" spans="1:1">
      <c r="A740" s="61">
        <f>IF(ISNUMBER(SEARCH(My_Sheet!$B$8,B740)),MAX($A$1:A739)+1,0)</f>
        <v>0</v>
      </c>
    </row>
    <row r="741" spans="1:1">
      <c r="A741" s="61">
        <f>IF(ISNUMBER(SEARCH(My_Sheet!$B$8,B741)),MAX($A$1:A740)+1,0)</f>
        <v>0</v>
      </c>
    </row>
    <row r="742" spans="1:1">
      <c r="A742" s="61">
        <f>IF(ISNUMBER(SEARCH(My_Sheet!$B$8,B742)),MAX($A$1:A741)+1,0)</f>
        <v>0</v>
      </c>
    </row>
    <row r="743" spans="1:1">
      <c r="A743" s="61">
        <f>IF(ISNUMBER(SEARCH(My_Sheet!$B$8,B743)),MAX($A$1:A742)+1,0)</f>
        <v>0</v>
      </c>
    </row>
    <row r="744" spans="1:1">
      <c r="A744" s="61">
        <f>IF(ISNUMBER(SEARCH(My_Sheet!$B$8,B744)),MAX($A$1:A743)+1,0)</f>
        <v>0</v>
      </c>
    </row>
    <row r="745" spans="1:1">
      <c r="A745" s="61">
        <f>IF(ISNUMBER(SEARCH(My_Sheet!$B$8,B745)),MAX($A$1:A744)+1,0)</f>
        <v>0</v>
      </c>
    </row>
    <row r="746" spans="1:1">
      <c r="A746" s="61">
        <f>IF(ISNUMBER(SEARCH(My_Sheet!$B$8,B746)),MAX($A$1:A745)+1,0)</f>
        <v>0</v>
      </c>
    </row>
    <row r="747" spans="1:1">
      <c r="A747" s="61">
        <f>IF(ISNUMBER(SEARCH(My_Sheet!$B$8,B747)),MAX($A$1:A746)+1,0)</f>
        <v>0</v>
      </c>
    </row>
    <row r="748" spans="1:1">
      <c r="A748" s="61">
        <f>IF(ISNUMBER(SEARCH(My_Sheet!$B$8,B748)),MAX($A$1:A747)+1,0)</f>
        <v>0</v>
      </c>
    </row>
    <row r="749" spans="1:1">
      <c r="A749" s="61">
        <f>IF(ISNUMBER(SEARCH(My_Sheet!$B$8,B749)),MAX($A$1:A748)+1,0)</f>
        <v>0</v>
      </c>
    </row>
    <row r="750" spans="1:1">
      <c r="A750" s="61">
        <f>IF(ISNUMBER(SEARCH(My_Sheet!$B$8,B750)),MAX($A$1:A749)+1,0)</f>
        <v>0</v>
      </c>
    </row>
    <row r="751" spans="1:1">
      <c r="A751" s="61">
        <f>IF(ISNUMBER(SEARCH(My_Sheet!$B$8,B751)),MAX($A$1:A750)+1,0)</f>
        <v>0</v>
      </c>
    </row>
    <row r="752" spans="1:1">
      <c r="A752" s="61">
        <f>IF(ISNUMBER(SEARCH(My_Sheet!$B$8,B752)),MAX($A$1:A751)+1,0)</f>
        <v>0</v>
      </c>
    </row>
    <row r="753" spans="1:1">
      <c r="A753" s="61">
        <f>IF(ISNUMBER(SEARCH(My_Sheet!$B$8,B753)),MAX($A$1:A752)+1,0)</f>
        <v>0</v>
      </c>
    </row>
    <row r="754" spans="1:1">
      <c r="A754" s="61">
        <f>IF(ISNUMBER(SEARCH(My_Sheet!$B$8,B754)),MAX($A$1:A753)+1,0)</f>
        <v>0</v>
      </c>
    </row>
    <row r="755" spans="1:1">
      <c r="A755" s="61">
        <f>IF(ISNUMBER(SEARCH(My_Sheet!$B$8,B755)),MAX($A$1:A754)+1,0)</f>
        <v>0</v>
      </c>
    </row>
    <row r="756" spans="1:1">
      <c r="A756" s="61">
        <f>IF(ISNUMBER(SEARCH(My_Sheet!$B$8,B756)),MAX($A$1:A755)+1,0)</f>
        <v>0</v>
      </c>
    </row>
    <row r="757" spans="1:1">
      <c r="A757" s="61">
        <f>IF(ISNUMBER(SEARCH(My_Sheet!$B$8,B757)),MAX($A$1:A756)+1,0)</f>
        <v>0</v>
      </c>
    </row>
    <row r="758" spans="1:1">
      <c r="A758" s="61">
        <f>IF(ISNUMBER(SEARCH(My_Sheet!$B$8,B758)),MAX($A$1:A757)+1,0)</f>
        <v>0</v>
      </c>
    </row>
    <row r="759" spans="1:1">
      <c r="A759" s="61">
        <f>IF(ISNUMBER(SEARCH(My_Sheet!$B$8,B759)),MAX($A$1:A758)+1,0)</f>
        <v>0</v>
      </c>
    </row>
    <row r="760" spans="1:1">
      <c r="A760" s="61">
        <f>IF(ISNUMBER(SEARCH(My_Sheet!$B$8,B760)),MAX($A$1:A759)+1,0)</f>
        <v>0</v>
      </c>
    </row>
    <row r="761" spans="1:1">
      <c r="A761" s="61">
        <f>IF(ISNUMBER(SEARCH(My_Sheet!$B$8,B761)),MAX($A$1:A760)+1,0)</f>
        <v>0</v>
      </c>
    </row>
    <row r="762" spans="1:1">
      <c r="A762" s="61">
        <f>IF(ISNUMBER(SEARCH(My_Sheet!$B$8,B762)),MAX($A$1:A761)+1,0)</f>
        <v>0</v>
      </c>
    </row>
    <row r="763" spans="1:1">
      <c r="A763" s="61">
        <f>IF(ISNUMBER(SEARCH(My_Sheet!$B$8,B763)),MAX($A$1:A762)+1,0)</f>
        <v>0</v>
      </c>
    </row>
    <row r="764" spans="1:1">
      <c r="A764" s="61">
        <f>IF(ISNUMBER(SEARCH(My_Sheet!$B$8,B764)),MAX($A$1:A763)+1,0)</f>
        <v>0</v>
      </c>
    </row>
    <row r="765" spans="1:1">
      <c r="A765" s="61">
        <f>IF(ISNUMBER(SEARCH(My_Sheet!$B$8,B765)),MAX($A$1:A764)+1,0)</f>
        <v>0</v>
      </c>
    </row>
    <row r="766" spans="1:1">
      <c r="A766" s="61">
        <f>IF(ISNUMBER(SEARCH(My_Sheet!$B$8,B766)),MAX($A$1:A765)+1,0)</f>
        <v>0</v>
      </c>
    </row>
    <row r="767" spans="1:1">
      <c r="A767" s="61">
        <f>IF(ISNUMBER(SEARCH(My_Sheet!$B$8,B767)),MAX($A$1:A766)+1,0)</f>
        <v>0</v>
      </c>
    </row>
    <row r="768" spans="1:1">
      <c r="A768" s="61">
        <f>IF(ISNUMBER(SEARCH(My_Sheet!$B$8,B768)),MAX($A$1:A767)+1,0)</f>
        <v>0</v>
      </c>
    </row>
    <row r="769" spans="1:1">
      <c r="A769" s="61">
        <f>IF(ISNUMBER(SEARCH(My_Sheet!$B$8,B769)),MAX($A$1:A768)+1,0)</f>
        <v>0</v>
      </c>
    </row>
    <row r="770" spans="1:1">
      <c r="A770" s="61">
        <f>IF(ISNUMBER(SEARCH(My_Sheet!$B$8,B770)),MAX($A$1:A769)+1,0)</f>
        <v>0</v>
      </c>
    </row>
    <row r="771" spans="1:1">
      <c r="A771" s="61">
        <f>IF(ISNUMBER(SEARCH(My_Sheet!$B$8,B771)),MAX($A$1:A770)+1,0)</f>
        <v>0</v>
      </c>
    </row>
    <row r="772" spans="1:1">
      <c r="A772" s="61">
        <f>IF(ISNUMBER(SEARCH(My_Sheet!$B$8,B772)),MAX($A$1:A771)+1,0)</f>
        <v>0</v>
      </c>
    </row>
    <row r="773" spans="1:1">
      <c r="A773" s="61">
        <f>IF(ISNUMBER(SEARCH(My_Sheet!$B$8,B773)),MAX($A$1:A772)+1,0)</f>
        <v>0</v>
      </c>
    </row>
    <row r="774" spans="1:1">
      <c r="A774" s="61">
        <f>IF(ISNUMBER(SEARCH(My_Sheet!$B$8,B774)),MAX($A$1:A773)+1,0)</f>
        <v>0</v>
      </c>
    </row>
    <row r="775" spans="1:1">
      <c r="A775" s="61">
        <f>IF(ISNUMBER(SEARCH(My_Sheet!$B$8,B775)),MAX($A$1:A774)+1,0)</f>
        <v>0</v>
      </c>
    </row>
    <row r="776" spans="1:1">
      <c r="A776" s="61">
        <f>IF(ISNUMBER(SEARCH(My_Sheet!$B$8,B776)),MAX($A$1:A775)+1,0)</f>
        <v>0</v>
      </c>
    </row>
    <row r="777" spans="1:1">
      <c r="A777" s="61">
        <f>IF(ISNUMBER(SEARCH(My_Sheet!$B$8,B777)),MAX($A$1:A776)+1,0)</f>
        <v>0</v>
      </c>
    </row>
    <row r="778" spans="1:1">
      <c r="A778" s="61">
        <f>IF(ISNUMBER(SEARCH(My_Sheet!$B$8,B778)),MAX($A$1:A777)+1,0)</f>
        <v>0</v>
      </c>
    </row>
    <row r="779" spans="1:1">
      <c r="A779" s="61">
        <f>IF(ISNUMBER(SEARCH(My_Sheet!$B$8,B779)),MAX($A$1:A778)+1,0)</f>
        <v>0</v>
      </c>
    </row>
    <row r="780" spans="1:1">
      <c r="A780" s="61">
        <f>IF(ISNUMBER(SEARCH(My_Sheet!$B$8,B780)),MAX($A$1:A779)+1,0)</f>
        <v>0</v>
      </c>
    </row>
    <row r="781" spans="1:1">
      <c r="A781" s="61">
        <f>IF(ISNUMBER(SEARCH(My_Sheet!$B$8,B781)),MAX($A$1:A780)+1,0)</f>
        <v>0</v>
      </c>
    </row>
    <row r="782" spans="1:1">
      <c r="A782" s="61">
        <f>IF(ISNUMBER(SEARCH(My_Sheet!$B$8,B782)),MAX($A$1:A781)+1,0)</f>
        <v>0</v>
      </c>
    </row>
    <row r="783" spans="1:1">
      <c r="A783" s="61">
        <f>IF(ISNUMBER(SEARCH(My_Sheet!$B$8,B783)),MAX($A$1:A782)+1,0)</f>
        <v>0</v>
      </c>
    </row>
    <row r="784" spans="1:1">
      <c r="A784" s="61">
        <f>IF(ISNUMBER(SEARCH(My_Sheet!$B$8,B784)),MAX($A$1:A783)+1,0)</f>
        <v>0</v>
      </c>
    </row>
    <row r="785" spans="1:1">
      <c r="A785" s="61">
        <f>IF(ISNUMBER(SEARCH(My_Sheet!$B$8,B785)),MAX($A$1:A784)+1,0)</f>
        <v>0</v>
      </c>
    </row>
    <row r="786" spans="1:1">
      <c r="A786" s="61">
        <f>IF(ISNUMBER(SEARCH(My_Sheet!$B$8,B786)),MAX($A$1:A785)+1,0)</f>
        <v>0</v>
      </c>
    </row>
  </sheetData>
  <sheetProtection password="E90E" sheet="1" objects="1" scenarios="1"/>
  <pageMargins left="0.7" right="0.7" top="0.75" bottom="0.75" header="0.3" footer="0.3"/>
  <pageSetup paperSize="9" orientation="portrait" horizontalDpi="300" verticalDpi="30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H99"/>
  <sheetViews>
    <sheetView topLeftCell="A2" workbookViewId="0">
      <selection activeCell="B2" sqref="B2:B99"/>
    </sheetView>
  </sheetViews>
  <sheetFormatPr defaultColWidth="31.140625" defaultRowHeight="18.75"/>
  <cols>
    <col min="1" max="1" width="11.42578125" style="1" customWidth="1"/>
    <col min="2" max="2" width="49.85546875" style="1" customWidth="1"/>
    <col min="3" max="4" width="31.140625" style="1"/>
    <col min="5" max="5" width="30.85546875" style="1" customWidth="1"/>
    <col min="6" max="16384" width="31.140625" style="1"/>
  </cols>
  <sheetData>
    <row r="1" spans="1:8">
      <c r="A1" s="1" t="s">
        <v>10</v>
      </c>
      <c r="B1" s="1" t="s">
        <v>11</v>
      </c>
      <c r="C1" s="1" t="s">
        <v>12</v>
      </c>
      <c r="D1" s="1" t="s">
        <v>2</v>
      </c>
    </row>
    <row r="2" spans="1:8">
      <c r="A2" s="72">
        <v>1</v>
      </c>
      <c r="B2" s="65" t="s">
        <v>202</v>
      </c>
      <c r="C2" s="66">
        <v>9032</v>
      </c>
      <c r="D2" s="66">
        <v>1100</v>
      </c>
      <c r="G2" s="1" t="str">
        <f>IFERROR(VLOOKUP(ROWS($G$2:G2),$A$2:$B$1048576,2,0),"")</f>
        <v xml:space="preserve">Digital Temp.  Controller - 96X96 mm, 400° C, Type – J    </v>
      </c>
      <c r="H2" s="1" t="str">
        <f ca="1">IFERROR(OFFSET($G$2,,,COUNTIF($G$2:$G$1048576,"?*")),"")</f>
        <v xml:space="preserve">Digital Temp.  Controller - 96X96 mm, 400° C, Type – J    </v>
      </c>
    </row>
    <row r="3" spans="1:8">
      <c r="A3" s="72">
        <v>2</v>
      </c>
      <c r="B3" s="65" t="s">
        <v>198</v>
      </c>
      <c r="C3" s="66">
        <v>9032</v>
      </c>
      <c r="D3" s="66">
        <v>1100</v>
      </c>
    </row>
    <row r="4" spans="1:8">
      <c r="A4" s="72">
        <v>3</v>
      </c>
      <c r="B4" s="65" t="s">
        <v>199</v>
      </c>
      <c r="C4" s="66">
        <v>9032</v>
      </c>
      <c r="D4" s="66">
        <v>1100</v>
      </c>
    </row>
    <row r="5" spans="1:8">
      <c r="A5" s="72">
        <v>4</v>
      </c>
      <c r="B5" s="65" t="s">
        <v>200</v>
      </c>
      <c r="C5" s="66">
        <v>9032</v>
      </c>
      <c r="D5" s="66">
        <v>1100</v>
      </c>
    </row>
    <row r="6" spans="1:8">
      <c r="A6" s="72">
        <v>5</v>
      </c>
      <c r="B6" s="65" t="s">
        <v>203</v>
      </c>
      <c r="C6" s="66">
        <v>9032</v>
      </c>
      <c r="D6" s="66">
        <v>1100</v>
      </c>
    </row>
    <row r="7" spans="1:8">
      <c r="A7" s="72">
        <v>6</v>
      </c>
      <c r="B7" s="65" t="s">
        <v>204</v>
      </c>
      <c r="C7" s="66">
        <v>9032</v>
      </c>
      <c r="D7" s="66">
        <v>1100</v>
      </c>
    </row>
    <row r="8" spans="1:8" ht="25.5">
      <c r="A8" s="72">
        <v>7</v>
      </c>
      <c r="B8" s="65" t="s">
        <v>205</v>
      </c>
      <c r="C8" s="66">
        <v>9032</v>
      </c>
      <c r="D8" s="67">
        <v>1150</v>
      </c>
    </row>
    <row r="9" spans="1:8" ht="25.5">
      <c r="A9" s="72">
        <v>8</v>
      </c>
      <c r="B9" s="65" t="s">
        <v>206</v>
      </c>
      <c r="C9" s="66">
        <v>9032</v>
      </c>
      <c r="D9" s="67">
        <v>1150</v>
      </c>
    </row>
    <row r="10" spans="1:8" ht="25.5">
      <c r="A10" s="72">
        <v>9</v>
      </c>
      <c r="B10" s="65" t="s">
        <v>207</v>
      </c>
      <c r="C10" s="66">
        <v>9032</v>
      </c>
      <c r="D10" s="67">
        <v>1150</v>
      </c>
    </row>
    <row r="11" spans="1:8" ht="25.5">
      <c r="A11" s="72">
        <v>10</v>
      </c>
      <c r="B11" s="65" t="s">
        <v>208</v>
      </c>
      <c r="C11" s="66">
        <v>9032</v>
      </c>
      <c r="D11" s="67">
        <v>1150</v>
      </c>
    </row>
    <row r="12" spans="1:8" ht="25.5">
      <c r="A12" s="72">
        <v>11</v>
      </c>
      <c r="B12" s="65" t="s">
        <v>209</v>
      </c>
      <c r="C12" s="66">
        <v>9032</v>
      </c>
      <c r="D12" s="67">
        <v>1250</v>
      </c>
    </row>
    <row r="13" spans="1:8" ht="25.5">
      <c r="A13" s="72">
        <v>12</v>
      </c>
      <c r="B13" s="65" t="s">
        <v>210</v>
      </c>
      <c r="C13" s="66">
        <v>9032</v>
      </c>
      <c r="D13" s="67">
        <v>1250</v>
      </c>
    </row>
    <row r="14" spans="1:8">
      <c r="A14" s="72">
        <v>13</v>
      </c>
      <c r="B14" s="65" t="s">
        <v>201</v>
      </c>
      <c r="C14" s="67">
        <v>9025</v>
      </c>
      <c r="D14" s="67">
        <v>950</v>
      </c>
    </row>
    <row r="15" spans="1:8">
      <c r="A15" s="72">
        <v>14</v>
      </c>
      <c r="B15" s="65" t="s">
        <v>211</v>
      </c>
      <c r="C15" s="67">
        <v>9025</v>
      </c>
      <c r="D15" s="67">
        <v>950</v>
      </c>
    </row>
    <row r="16" spans="1:8">
      <c r="A16" s="72">
        <v>15</v>
      </c>
      <c r="B16" s="65" t="s">
        <v>212</v>
      </c>
      <c r="C16" s="67">
        <v>9025</v>
      </c>
      <c r="D16" s="67">
        <v>950</v>
      </c>
    </row>
    <row r="17" spans="1:4">
      <c r="A17" s="72">
        <v>16</v>
      </c>
      <c r="B17" s="65" t="s">
        <v>213</v>
      </c>
      <c r="C17" s="67">
        <v>9025</v>
      </c>
      <c r="D17" s="67">
        <v>1000</v>
      </c>
    </row>
    <row r="18" spans="1:4">
      <c r="A18" s="72">
        <v>17</v>
      </c>
      <c r="B18" s="65" t="s">
        <v>214</v>
      </c>
      <c r="C18" s="67">
        <v>9025</v>
      </c>
      <c r="D18" s="67">
        <v>1000</v>
      </c>
    </row>
    <row r="19" spans="1:4">
      <c r="A19" s="72">
        <v>18</v>
      </c>
      <c r="B19" s="65" t="s">
        <v>215</v>
      </c>
      <c r="C19" s="67">
        <v>9025</v>
      </c>
      <c r="D19" s="67">
        <v>1000</v>
      </c>
    </row>
    <row r="20" spans="1:4">
      <c r="A20" s="72">
        <v>19</v>
      </c>
      <c r="B20" s="68" t="s">
        <v>216</v>
      </c>
      <c r="C20" s="67">
        <v>9025</v>
      </c>
      <c r="D20" s="67">
        <v>1000</v>
      </c>
    </row>
    <row r="21" spans="1:4">
      <c r="A21" s="72">
        <v>20</v>
      </c>
      <c r="B21" s="68" t="s">
        <v>217</v>
      </c>
      <c r="C21" s="67">
        <v>9025</v>
      </c>
      <c r="D21" s="67">
        <v>1450</v>
      </c>
    </row>
    <row r="22" spans="1:4">
      <c r="A22" s="72">
        <v>21</v>
      </c>
      <c r="B22" s="68" t="s">
        <v>218</v>
      </c>
      <c r="C22" s="67">
        <v>9025</v>
      </c>
      <c r="D22" s="67">
        <v>1650</v>
      </c>
    </row>
    <row r="23" spans="1:4">
      <c r="A23" s="72">
        <v>22</v>
      </c>
      <c r="B23" s="68" t="s">
        <v>219</v>
      </c>
      <c r="C23" s="67">
        <v>9025</v>
      </c>
      <c r="D23" s="67">
        <v>2300</v>
      </c>
    </row>
    <row r="24" spans="1:4">
      <c r="A24" s="72">
        <v>23</v>
      </c>
      <c r="B24" s="68" t="s">
        <v>220</v>
      </c>
      <c r="C24" s="67">
        <v>9025</v>
      </c>
      <c r="D24" s="67">
        <v>1450</v>
      </c>
    </row>
    <row r="25" spans="1:4">
      <c r="A25" s="72">
        <v>24</v>
      </c>
      <c r="B25" s="68" t="s">
        <v>221</v>
      </c>
      <c r="C25" s="67">
        <v>9025</v>
      </c>
      <c r="D25" s="67">
        <v>1650</v>
      </c>
    </row>
    <row r="26" spans="1:4">
      <c r="A26" s="72">
        <v>25</v>
      </c>
      <c r="B26" s="68" t="s">
        <v>222</v>
      </c>
      <c r="C26" s="67">
        <v>9025</v>
      </c>
      <c r="D26" s="67">
        <v>2300</v>
      </c>
    </row>
    <row r="27" spans="1:4">
      <c r="A27" s="72">
        <v>26</v>
      </c>
      <c r="B27" s="68" t="s">
        <v>223</v>
      </c>
      <c r="C27" s="67">
        <v>9025</v>
      </c>
      <c r="D27" s="67">
        <v>1450</v>
      </c>
    </row>
    <row r="28" spans="1:4">
      <c r="A28" s="72">
        <v>27</v>
      </c>
      <c r="B28" s="68" t="s">
        <v>224</v>
      </c>
      <c r="C28" s="67">
        <v>9025</v>
      </c>
      <c r="D28" s="67">
        <v>1650</v>
      </c>
    </row>
    <row r="29" spans="1:4">
      <c r="A29" s="72">
        <v>28</v>
      </c>
      <c r="B29" s="68" t="s">
        <v>225</v>
      </c>
      <c r="C29" s="67">
        <v>9025</v>
      </c>
      <c r="D29" s="67">
        <v>2300</v>
      </c>
    </row>
    <row r="30" spans="1:4" ht="27">
      <c r="A30" s="72">
        <v>29</v>
      </c>
      <c r="B30" s="68" t="s">
        <v>226</v>
      </c>
      <c r="C30" s="67">
        <v>9107</v>
      </c>
      <c r="D30" s="67">
        <v>1250</v>
      </c>
    </row>
    <row r="31" spans="1:4">
      <c r="A31" s="72">
        <v>30</v>
      </c>
      <c r="B31" s="68" t="s">
        <v>231</v>
      </c>
      <c r="C31" s="67">
        <v>9107</v>
      </c>
      <c r="D31" s="67">
        <v>1250</v>
      </c>
    </row>
    <row r="32" spans="1:4" ht="27">
      <c r="A32" s="72">
        <v>31</v>
      </c>
      <c r="B32" s="68" t="s">
        <v>227</v>
      </c>
      <c r="C32" s="67">
        <v>9107</v>
      </c>
      <c r="D32" s="67">
        <v>1250</v>
      </c>
    </row>
    <row r="33" spans="1:4">
      <c r="A33" s="72">
        <v>32</v>
      </c>
      <c r="B33" s="68" t="s">
        <v>232</v>
      </c>
      <c r="C33" s="67">
        <v>9107</v>
      </c>
      <c r="D33" s="67">
        <v>1250</v>
      </c>
    </row>
    <row r="34" spans="1:4" ht="27">
      <c r="A34" s="72">
        <v>33</v>
      </c>
      <c r="B34" s="68" t="s">
        <v>228</v>
      </c>
      <c r="C34" s="67">
        <v>9107</v>
      </c>
      <c r="D34" s="69">
        <v>1650</v>
      </c>
    </row>
    <row r="35" spans="1:4">
      <c r="A35" s="72">
        <v>34</v>
      </c>
      <c r="B35" s="68" t="s">
        <v>229</v>
      </c>
      <c r="C35" s="67">
        <v>8515</v>
      </c>
      <c r="D35" s="67"/>
    </row>
    <row r="36" spans="1:4" ht="27">
      <c r="A36" s="72">
        <v>35</v>
      </c>
      <c r="B36" s="68" t="s">
        <v>230</v>
      </c>
      <c r="C36" s="67">
        <v>8515</v>
      </c>
      <c r="D36" s="69">
        <v>6900</v>
      </c>
    </row>
    <row r="37" spans="1:4">
      <c r="A37" s="72">
        <v>36</v>
      </c>
      <c r="B37" s="65" t="s">
        <v>233</v>
      </c>
      <c r="C37" s="67">
        <v>9025</v>
      </c>
      <c r="D37" s="67">
        <v>140</v>
      </c>
    </row>
    <row r="38" spans="1:4">
      <c r="A38" s="72">
        <v>37</v>
      </c>
      <c r="B38" s="65" t="s">
        <v>234</v>
      </c>
      <c r="C38" s="67">
        <v>9025</v>
      </c>
      <c r="D38" s="67">
        <v>145</v>
      </c>
    </row>
    <row r="39" spans="1:4">
      <c r="A39" s="72">
        <v>38</v>
      </c>
      <c r="B39" s="65" t="s">
        <v>235</v>
      </c>
      <c r="C39" s="67">
        <v>9025</v>
      </c>
      <c r="D39" s="67">
        <v>300</v>
      </c>
    </row>
    <row r="40" spans="1:4">
      <c r="A40" s="72">
        <v>39</v>
      </c>
      <c r="B40" s="65" t="s">
        <v>236</v>
      </c>
      <c r="C40" s="67">
        <v>9025</v>
      </c>
      <c r="D40" s="67">
        <v>350</v>
      </c>
    </row>
    <row r="41" spans="1:4">
      <c r="A41" s="72">
        <v>40</v>
      </c>
      <c r="B41" s="65" t="s">
        <v>237</v>
      </c>
      <c r="C41" s="67">
        <v>9025</v>
      </c>
      <c r="D41" s="67">
        <v>350</v>
      </c>
    </row>
    <row r="42" spans="1:4">
      <c r="A42" s="72">
        <v>41</v>
      </c>
      <c r="B42" s="65" t="s">
        <v>238</v>
      </c>
      <c r="C42" s="67">
        <v>9025</v>
      </c>
      <c r="D42" s="69">
        <v>1750</v>
      </c>
    </row>
    <row r="43" spans="1:4">
      <c r="A43" s="72">
        <v>42</v>
      </c>
      <c r="B43" s="65" t="s">
        <v>239</v>
      </c>
      <c r="C43" s="67">
        <v>9025</v>
      </c>
      <c r="D43" s="67">
        <v>190</v>
      </c>
    </row>
    <row r="44" spans="1:4">
      <c r="A44" s="72">
        <v>43</v>
      </c>
      <c r="B44" s="65" t="s">
        <v>240</v>
      </c>
      <c r="C44" s="67">
        <v>9025</v>
      </c>
      <c r="D44" s="67">
        <v>350</v>
      </c>
    </row>
    <row r="45" spans="1:4">
      <c r="A45" s="72">
        <v>44</v>
      </c>
      <c r="B45" s="65" t="s">
        <v>241</v>
      </c>
      <c r="C45" s="67">
        <v>9025</v>
      </c>
      <c r="D45" s="67">
        <v>425</v>
      </c>
    </row>
    <row r="46" spans="1:4" ht="25.5">
      <c r="A46" s="72">
        <v>45</v>
      </c>
      <c r="B46" s="65" t="s">
        <v>295</v>
      </c>
      <c r="C46" s="67">
        <v>9025</v>
      </c>
      <c r="D46" s="69">
        <v>1200</v>
      </c>
    </row>
    <row r="47" spans="1:4">
      <c r="A47" s="72">
        <v>46</v>
      </c>
      <c r="B47" s="65" t="s">
        <v>242</v>
      </c>
      <c r="C47" s="67">
        <v>8544</v>
      </c>
      <c r="D47" s="69">
        <v>2675</v>
      </c>
    </row>
    <row r="48" spans="1:4">
      <c r="A48" s="72">
        <v>47</v>
      </c>
      <c r="B48" s="65" t="s">
        <v>243</v>
      </c>
      <c r="C48" s="67">
        <v>8544</v>
      </c>
      <c r="D48" s="69">
        <v>2800</v>
      </c>
    </row>
    <row r="49" spans="1:4">
      <c r="A49" s="72">
        <v>48</v>
      </c>
      <c r="B49" s="65" t="s">
        <v>244</v>
      </c>
      <c r="C49" s="67">
        <v>8544</v>
      </c>
      <c r="D49" s="69">
        <v>3100</v>
      </c>
    </row>
    <row r="50" spans="1:4">
      <c r="A50" s="72">
        <v>49</v>
      </c>
      <c r="B50" s="65" t="s">
        <v>245</v>
      </c>
      <c r="C50" s="67">
        <v>8544</v>
      </c>
      <c r="D50" s="69">
        <v>3750</v>
      </c>
    </row>
    <row r="51" spans="1:4">
      <c r="A51" s="72">
        <v>50</v>
      </c>
      <c r="B51" s="70" t="s">
        <v>246</v>
      </c>
      <c r="C51" s="66">
        <v>8544</v>
      </c>
      <c r="D51" s="69">
        <v>3850</v>
      </c>
    </row>
    <row r="52" spans="1:4">
      <c r="A52" s="72">
        <v>51</v>
      </c>
      <c r="B52" s="71" t="s">
        <v>247</v>
      </c>
      <c r="C52" s="67">
        <v>440249</v>
      </c>
      <c r="D52" s="66">
        <v>250</v>
      </c>
    </row>
    <row r="53" spans="1:4">
      <c r="A53" s="72">
        <v>52</v>
      </c>
      <c r="B53" s="71" t="s">
        <v>248</v>
      </c>
      <c r="C53" s="67">
        <v>440249</v>
      </c>
      <c r="D53" s="66">
        <v>250</v>
      </c>
    </row>
    <row r="54" spans="1:4">
      <c r="A54" s="72">
        <v>53</v>
      </c>
      <c r="B54" s="71" t="s">
        <v>291</v>
      </c>
      <c r="C54" s="67">
        <v>440249</v>
      </c>
      <c r="D54" s="66">
        <v>300</v>
      </c>
    </row>
    <row r="55" spans="1:4">
      <c r="A55" s="72">
        <v>54</v>
      </c>
      <c r="B55" s="65" t="s">
        <v>249</v>
      </c>
      <c r="C55" s="67">
        <v>998346</v>
      </c>
      <c r="D55" s="67">
        <v>350</v>
      </c>
    </row>
    <row r="56" spans="1:4">
      <c r="A56" s="72">
        <v>55</v>
      </c>
      <c r="B56" s="68" t="s">
        <v>250</v>
      </c>
      <c r="C56" s="67">
        <v>998346</v>
      </c>
      <c r="D56" s="67">
        <v>400</v>
      </c>
    </row>
    <row r="57" spans="1:4">
      <c r="A57" s="72">
        <v>56</v>
      </c>
      <c r="B57" s="68" t="s">
        <v>251</v>
      </c>
      <c r="C57" s="67">
        <v>998346</v>
      </c>
      <c r="D57" s="67">
        <v>350</v>
      </c>
    </row>
    <row r="58" spans="1:4">
      <c r="A58" s="72">
        <v>57</v>
      </c>
      <c r="B58" s="68" t="s">
        <v>252</v>
      </c>
      <c r="C58" s="67">
        <v>998346</v>
      </c>
      <c r="D58" s="67">
        <v>350</v>
      </c>
    </row>
    <row r="59" spans="1:4">
      <c r="A59" s="72">
        <v>58</v>
      </c>
      <c r="B59" s="68" t="s">
        <v>253</v>
      </c>
      <c r="C59" s="67">
        <v>998346</v>
      </c>
      <c r="D59" s="67">
        <v>350</v>
      </c>
    </row>
    <row r="60" spans="1:4">
      <c r="A60" s="72">
        <v>59</v>
      </c>
      <c r="B60" s="68" t="s">
        <v>254</v>
      </c>
      <c r="C60" s="67">
        <v>998346</v>
      </c>
      <c r="D60" s="67">
        <v>700</v>
      </c>
    </row>
    <row r="61" spans="1:4">
      <c r="A61" s="72">
        <v>60</v>
      </c>
      <c r="B61" s="68" t="s">
        <v>255</v>
      </c>
      <c r="C61" s="67">
        <v>998346</v>
      </c>
      <c r="D61" s="67">
        <v>450</v>
      </c>
    </row>
    <row r="62" spans="1:4">
      <c r="A62" s="72">
        <v>61</v>
      </c>
      <c r="B62" s="68" t="s">
        <v>256</v>
      </c>
      <c r="C62" s="67">
        <v>998346</v>
      </c>
      <c r="D62" s="69">
        <v>450</v>
      </c>
    </row>
    <row r="63" spans="1:4">
      <c r="A63" s="72">
        <v>62</v>
      </c>
      <c r="B63" s="68" t="s">
        <v>257</v>
      </c>
      <c r="C63" s="67">
        <v>998346</v>
      </c>
      <c r="D63" s="67">
        <v>550</v>
      </c>
    </row>
    <row r="64" spans="1:4">
      <c r="A64" s="72">
        <v>63</v>
      </c>
      <c r="B64" s="68" t="s">
        <v>258</v>
      </c>
      <c r="C64" s="67">
        <v>998346</v>
      </c>
      <c r="D64" s="67">
        <v>900</v>
      </c>
    </row>
    <row r="65" spans="1:4">
      <c r="A65" s="72">
        <v>64</v>
      </c>
      <c r="B65" s="68" t="s">
        <v>259</v>
      </c>
      <c r="C65" s="67">
        <v>998346</v>
      </c>
      <c r="D65" s="69">
        <v>2500</v>
      </c>
    </row>
    <row r="66" spans="1:4">
      <c r="A66" s="72">
        <v>65</v>
      </c>
      <c r="B66" s="68" t="s">
        <v>260</v>
      </c>
      <c r="C66" s="67">
        <v>998346</v>
      </c>
      <c r="D66" s="67">
        <v>350</v>
      </c>
    </row>
    <row r="67" spans="1:4">
      <c r="A67" s="72">
        <v>66</v>
      </c>
      <c r="B67" s="68" t="s">
        <v>261</v>
      </c>
      <c r="C67" s="67">
        <v>998346</v>
      </c>
      <c r="D67" s="69">
        <v>1200</v>
      </c>
    </row>
    <row r="68" spans="1:4">
      <c r="A68" s="72">
        <v>67</v>
      </c>
      <c r="B68" s="68" t="s">
        <v>262</v>
      </c>
      <c r="C68" s="67">
        <v>998346</v>
      </c>
      <c r="D68" s="69">
        <v>1100</v>
      </c>
    </row>
    <row r="69" spans="1:4">
      <c r="A69" s="72">
        <v>68</v>
      </c>
      <c r="B69" s="68" t="s">
        <v>263</v>
      </c>
      <c r="C69" s="67">
        <v>998346</v>
      </c>
      <c r="D69" s="67"/>
    </row>
    <row r="70" spans="1:4">
      <c r="A70" s="72">
        <v>69</v>
      </c>
      <c r="B70" s="68" t="s">
        <v>264</v>
      </c>
      <c r="C70" s="67">
        <v>998346</v>
      </c>
      <c r="D70" s="67">
        <v>900</v>
      </c>
    </row>
    <row r="71" spans="1:4">
      <c r="A71" s="72">
        <v>70</v>
      </c>
      <c r="B71" s="68" t="s">
        <v>265</v>
      </c>
      <c r="C71" s="67">
        <v>998346</v>
      </c>
      <c r="D71" s="69">
        <v>1100</v>
      </c>
    </row>
    <row r="72" spans="1:4">
      <c r="A72" s="72">
        <v>71</v>
      </c>
      <c r="B72" s="68" t="s">
        <v>289</v>
      </c>
      <c r="C72" s="67">
        <v>998346</v>
      </c>
      <c r="D72" s="69">
        <v>1900</v>
      </c>
    </row>
    <row r="73" spans="1:4">
      <c r="A73" s="72">
        <v>72</v>
      </c>
      <c r="B73" s="68" t="s">
        <v>266</v>
      </c>
      <c r="C73" s="67">
        <v>998346</v>
      </c>
      <c r="D73" s="67">
        <v>700</v>
      </c>
    </row>
    <row r="74" spans="1:4">
      <c r="A74" s="72">
        <v>73</v>
      </c>
      <c r="B74" s="68" t="s">
        <v>267</v>
      </c>
      <c r="C74" s="67">
        <v>998346</v>
      </c>
      <c r="D74" s="67">
        <v>400</v>
      </c>
    </row>
    <row r="75" spans="1:4">
      <c r="A75" s="72">
        <v>74</v>
      </c>
      <c r="B75" s="68" t="s">
        <v>268</v>
      </c>
      <c r="C75" s="67">
        <v>998346</v>
      </c>
      <c r="D75" s="69">
        <v>1400</v>
      </c>
    </row>
    <row r="76" spans="1:4">
      <c r="A76" s="72">
        <v>75</v>
      </c>
      <c r="B76" s="68" t="s">
        <v>269</v>
      </c>
      <c r="C76" s="67">
        <v>998346</v>
      </c>
      <c r="D76" s="69">
        <v>1400</v>
      </c>
    </row>
    <row r="77" spans="1:4">
      <c r="A77" s="72">
        <v>76</v>
      </c>
      <c r="B77" s="68" t="s">
        <v>270</v>
      </c>
      <c r="C77" s="67">
        <v>998346</v>
      </c>
      <c r="D77" s="69">
        <v>2700</v>
      </c>
    </row>
    <row r="78" spans="1:4">
      <c r="A78" s="72">
        <v>77</v>
      </c>
      <c r="B78" s="68" t="s">
        <v>271</v>
      </c>
      <c r="C78" s="67">
        <v>998346</v>
      </c>
      <c r="D78" s="67">
        <v>700</v>
      </c>
    </row>
    <row r="79" spans="1:4">
      <c r="A79" s="72">
        <v>78</v>
      </c>
      <c r="B79" s="68" t="s">
        <v>272</v>
      </c>
      <c r="C79" s="67">
        <v>998346</v>
      </c>
      <c r="D79" s="67">
        <v>500</v>
      </c>
    </row>
    <row r="80" spans="1:4">
      <c r="A80" s="72">
        <v>79</v>
      </c>
      <c r="B80" s="68" t="s">
        <v>293</v>
      </c>
      <c r="C80" s="67">
        <v>998346</v>
      </c>
      <c r="D80" s="67">
        <v>400</v>
      </c>
    </row>
    <row r="81" spans="1:4">
      <c r="A81" s="72">
        <v>80</v>
      </c>
      <c r="B81" s="68" t="s">
        <v>273</v>
      </c>
      <c r="C81" s="67">
        <v>998346</v>
      </c>
      <c r="D81" s="67"/>
    </row>
    <row r="82" spans="1:4">
      <c r="A82" s="72">
        <v>81</v>
      </c>
      <c r="B82" s="68" t="s">
        <v>274</v>
      </c>
      <c r="C82" s="67">
        <v>998346</v>
      </c>
      <c r="D82" s="69">
        <v>1250</v>
      </c>
    </row>
    <row r="83" spans="1:4">
      <c r="A83" s="72">
        <v>82</v>
      </c>
      <c r="B83" s="68" t="s">
        <v>275</v>
      </c>
      <c r="C83" s="67">
        <v>998346</v>
      </c>
      <c r="D83" s="67"/>
    </row>
    <row r="84" spans="1:4">
      <c r="A84" s="72">
        <v>83</v>
      </c>
      <c r="B84" s="68" t="s">
        <v>276</v>
      </c>
      <c r="C84" s="67">
        <v>998346</v>
      </c>
      <c r="D84" s="67"/>
    </row>
    <row r="85" spans="1:4">
      <c r="A85" s="72">
        <v>84</v>
      </c>
      <c r="B85" s="68" t="s">
        <v>277</v>
      </c>
      <c r="C85" s="67">
        <v>998346</v>
      </c>
      <c r="D85" s="69">
        <v>1650</v>
      </c>
    </row>
    <row r="86" spans="1:4">
      <c r="A86" s="72">
        <v>85</v>
      </c>
      <c r="B86" s="68" t="s">
        <v>278</v>
      </c>
      <c r="C86" s="67">
        <v>998346</v>
      </c>
      <c r="D86" s="69">
        <v>1300</v>
      </c>
    </row>
    <row r="87" spans="1:4">
      <c r="A87" s="72">
        <v>86</v>
      </c>
      <c r="B87" s="68" t="s">
        <v>279</v>
      </c>
      <c r="C87" s="67">
        <v>998346</v>
      </c>
      <c r="D87" s="67"/>
    </row>
    <row r="88" spans="1:4">
      <c r="A88" s="72">
        <v>87</v>
      </c>
      <c r="B88" s="68" t="s">
        <v>280</v>
      </c>
      <c r="C88" s="67">
        <v>998346</v>
      </c>
      <c r="D88" s="67"/>
    </row>
    <row r="89" spans="1:4">
      <c r="A89" s="72">
        <v>88</v>
      </c>
      <c r="B89" s="68" t="s">
        <v>281</v>
      </c>
      <c r="C89" s="67">
        <v>998346</v>
      </c>
      <c r="D89" s="67"/>
    </row>
    <row r="90" spans="1:4">
      <c r="A90" s="72">
        <v>89</v>
      </c>
      <c r="B90" s="68" t="s">
        <v>282</v>
      </c>
      <c r="C90" s="67">
        <v>998346</v>
      </c>
      <c r="D90" s="67"/>
    </row>
    <row r="91" spans="1:4">
      <c r="A91" s="72">
        <v>90</v>
      </c>
      <c r="B91" s="68" t="s">
        <v>283</v>
      </c>
      <c r="C91" s="67">
        <v>998346</v>
      </c>
      <c r="D91" s="67"/>
    </row>
    <row r="92" spans="1:4">
      <c r="A92" s="72">
        <v>91</v>
      </c>
      <c r="B92" s="68" t="s">
        <v>284</v>
      </c>
      <c r="C92" s="67">
        <v>998346</v>
      </c>
      <c r="D92" s="67">
        <v>900</v>
      </c>
    </row>
    <row r="93" spans="1:4" ht="27">
      <c r="A93" s="72">
        <v>92</v>
      </c>
      <c r="B93" s="68" t="s">
        <v>285</v>
      </c>
      <c r="C93" s="67">
        <v>998346</v>
      </c>
      <c r="D93" s="67"/>
    </row>
    <row r="94" spans="1:4">
      <c r="A94" s="72">
        <v>93</v>
      </c>
      <c r="B94" s="68" t="s">
        <v>292</v>
      </c>
      <c r="C94" s="67">
        <v>998346</v>
      </c>
      <c r="D94" s="69">
        <v>350</v>
      </c>
    </row>
    <row r="95" spans="1:4">
      <c r="A95" s="72">
        <v>94</v>
      </c>
      <c r="B95" s="68" t="s">
        <v>286</v>
      </c>
      <c r="C95" s="67">
        <v>998346</v>
      </c>
      <c r="D95" s="69">
        <v>1400</v>
      </c>
    </row>
    <row r="96" spans="1:4">
      <c r="A96" s="72">
        <v>95</v>
      </c>
      <c r="B96" s="68" t="s">
        <v>287</v>
      </c>
      <c r="C96" s="67">
        <v>998346</v>
      </c>
      <c r="D96" s="67"/>
    </row>
    <row r="97" spans="1:4">
      <c r="A97" s="72">
        <v>96</v>
      </c>
      <c r="B97" s="68" t="s">
        <v>288</v>
      </c>
      <c r="C97" s="67">
        <v>998346</v>
      </c>
      <c r="D97" s="69">
        <v>1200</v>
      </c>
    </row>
    <row r="98" spans="1:4" ht="37.5">
      <c r="A98" s="73">
        <f>IF(ISNUMBER(SEARCH(My_Sheet!$B$14,B98)),MAX($A$1:A97)+1,0)</f>
        <v>97</v>
      </c>
      <c r="B98" s="74" t="s">
        <v>294</v>
      </c>
      <c r="C98" s="75">
        <v>998346</v>
      </c>
      <c r="D98" s="76">
        <v>3800</v>
      </c>
    </row>
    <row r="99" spans="1:4" ht="37.5">
      <c r="A99" s="77">
        <f>IF(ISNUMBER(SEARCH(My_Sheet!$B$14,B99)),MAX($A$1:A98)+1,0)</f>
        <v>98</v>
      </c>
      <c r="B99" s="78" t="s">
        <v>296</v>
      </c>
      <c r="C99" s="79">
        <v>8537</v>
      </c>
      <c r="D99" s="80">
        <v>5750</v>
      </c>
    </row>
  </sheetData>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sheetPr codeName="Sheet4"/>
  <dimension ref="A1:I47"/>
  <sheetViews>
    <sheetView zoomScale="160" zoomScaleNormal="160" workbookViewId="0">
      <selection activeCell="I2" sqref="I2"/>
    </sheetView>
  </sheetViews>
  <sheetFormatPr defaultColWidth="20.7109375" defaultRowHeight="31.5" customHeight="1"/>
  <cols>
    <col min="1" max="1" width="9.7109375" style="85" customWidth="1"/>
    <col min="2" max="2" width="9.28515625" style="88" customWidth="1"/>
    <col min="3" max="3" width="22.28515625" style="87" customWidth="1"/>
    <col min="4" max="4" width="14.28515625" style="85" customWidth="1"/>
    <col min="5" max="5" width="13" style="119" customWidth="1"/>
    <col min="6" max="6" width="8.28515625" style="119" customWidth="1"/>
    <col min="7" max="7" width="8" style="119" customWidth="1"/>
    <col min="8" max="8" width="7.5703125" style="119" customWidth="1"/>
    <col min="9" max="9" width="13.5703125" style="119" customWidth="1"/>
    <col min="10" max="16384" width="20.7109375" style="85"/>
  </cols>
  <sheetData>
    <row r="1" spans="1:9" s="86" customFormat="1" ht="31.5" customHeight="1">
      <c r="A1" s="82" t="s">
        <v>299</v>
      </c>
      <c r="B1" s="84" t="s">
        <v>36</v>
      </c>
      <c r="C1" s="83" t="s">
        <v>34</v>
      </c>
      <c r="D1" s="82" t="s">
        <v>300</v>
      </c>
      <c r="E1" s="117" t="s">
        <v>301</v>
      </c>
      <c r="F1" s="117" t="s">
        <v>302</v>
      </c>
      <c r="G1" s="117" t="s">
        <v>303</v>
      </c>
      <c r="H1" s="117" t="s">
        <v>304</v>
      </c>
      <c r="I1" s="117" t="s">
        <v>37</v>
      </c>
    </row>
    <row r="2" spans="1:9" ht="31.5" customHeight="1">
      <c r="A2" s="201">
        <v>1</v>
      </c>
      <c r="B2" s="202">
        <v>23</v>
      </c>
      <c r="C2" s="203" t="s">
        <v>65</v>
      </c>
      <c r="D2" s="201" t="s">
        <v>308</v>
      </c>
      <c r="E2" s="204">
        <v>11000</v>
      </c>
      <c r="F2" s="204">
        <v>990</v>
      </c>
      <c r="G2" s="204">
        <v>990</v>
      </c>
      <c r="H2" s="204">
        <v>0</v>
      </c>
      <c r="I2" s="204">
        <v>12980</v>
      </c>
    </row>
    <row r="3" spans="1:9" ht="31.5" customHeight="1">
      <c r="A3" s="94">
        <v>1</v>
      </c>
      <c r="B3" s="95">
        <v>23</v>
      </c>
      <c r="C3" s="96" t="s">
        <v>68</v>
      </c>
      <c r="D3" s="94" t="s">
        <v>307</v>
      </c>
      <c r="E3" s="118">
        <v>1100</v>
      </c>
      <c r="F3" s="118">
        <v>99</v>
      </c>
      <c r="G3" s="118">
        <v>99</v>
      </c>
      <c r="H3" s="118">
        <v>0</v>
      </c>
      <c r="I3" s="118">
        <v>1298</v>
      </c>
    </row>
    <row r="4" spans="1:9" s="86" customFormat="1" ht="31.5" customHeight="1">
      <c r="A4" s="94"/>
      <c r="B4" s="95"/>
      <c r="C4" s="96"/>
      <c r="D4" s="94"/>
      <c r="E4" s="118"/>
      <c r="F4" s="118"/>
      <c r="G4" s="118"/>
      <c r="H4" s="118"/>
      <c r="I4" s="118"/>
    </row>
    <row r="5" spans="1:9" ht="31.5" customHeight="1">
      <c r="A5" s="94"/>
      <c r="B5" s="95"/>
      <c r="C5" s="96"/>
      <c r="D5" s="94"/>
    </row>
    <row r="6" spans="1:9" ht="31.5" customHeight="1">
      <c r="A6" s="94"/>
      <c r="B6" s="95"/>
      <c r="C6" s="96"/>
      <c r="D6" s="94"/>
    </row>
    <row r="7" spans="1:9" ht="31.5" customHeight="1">
      <c r="A7" s="94"/>
      <c r="B7" s="95"/>
      <c r="C7" s="96"/>
      <c r="D7" s="94"/>
    </row>
    <row r="8" spans="1:9" ht="31.5" customHeight="1">
      <c r="A8" s="94"/>
      <c r="B8" s="95"/>
      <c r="C8" s="96"/>
      <c r="D8" s="94"/>
    </row>
    <row r="9" spans="1:9" ht="31.5" customHeight="1">
      <c r="A9" s="94"/>
      <c r="B9" s="95"/>
      <c r="C9" s="96"/>
      <c r="D9" s="94"/>
    </row>
    <row r="10" spans="1:9" ht="31.5" customHeight="1">
      <c r="A10" s="94"/>
      <c r="B10" s="95"/>
      <c r="C10" s="96"/>
      <c r="D10" s="94"/>
    </row>
    <row r="11" spans="1:9" ht="31.5" customHeight="1">
      <c r="A11" s="94"/>
      <c r="B11" s="95"/>
      <c r="C11" s="96"/>
      <c r="D11" s="94"/>
    </row>
    <row r="12" spans="1:9" ht="31.5" customHeight="1">
      <c r="A12" s="94"/>
      <c r="B12" s="95"/>
      <c r="C12" s="96"/>
      <c r="D12" s="94"/>
    </row>
    <row r="13" spans="1:9" s="86" customFormat="1" ht="31.5" customHeight="1">
      <c r="A13" s="91"/>
      <c r="B13" s="92"/>
      <c r="C13" s="93"/>
      <c r="D13" s="91"/>
      <c r="E13" s="120"/>
      <c r="F13" s="120"/>
      <c r="G13" s="120"/>
      <c r="H13" s="120"/>
      <c r="I13" s="120"/>
    </row>
    <row r="14" spans="1:9" ht="31.5" customHeight="1">
      <c r="A14" s="94"/>
      <c r="B14" s="95"/>
      <c r="C14" s="96"/>
      <c r="D14" s="94"/>
    </row>
    <row r="15" spans="1:9" ht="31.5" customHeight="1">
      <c r="A15" s="94"/>
      <c r="B15" s="95"/>
      <c r="C15" s="96"/>
      <c r="D15" s="94"/>
    </row>
    <row r="16" spans="1:9" ht="31.5" customHeight="1">
      <c r="A16" s="94"/>
      <c r="B16" s="95"/>
      <c r="C16" s="96"/>
      <c r="D16" s="94"/>
    </row>
    <row r="17" spans="1:9" ht="31.5" customHeight="1">
      <c r="A17" s="94"/>
      <c r="B17" s="95"/>
      <c r="C17" s="96"/>
      <c r="D17" s="94"/>
    </row>
    <row r="18" spans="1:9" ht="31.5" customHeight="1">
      <c r="A18" s="94"/>
      <c r="B18" s="95"/>
      <c r="C18" s="96"/>
      <c r="D18" s="94"/>
    </row>
    <row r="19" spans="1:9" ht="31.5" customHeight="1">
      <c r="A19" s="94"/>
      <c r="B19" s="95"/>
      <c r="C19" s="96"/>
      <c r="D19" s="94"/>
    </row>
    <row r="20" spans="1:9" ht="31.5" customHeight="1">
      <c r="A20" s="94"/>
      <c r="B20" s="95"/>
      <c r="C20" s="96"/>
      <c r="D20" s="94"/>
    </row>
    <row r="21" spans="1:9" ht="31.5" customHeight="1">
      <c r="A21" s="94"/>
      <c r="B21" s="95"/>
      <c r="C21" s="96"/>
      <c r="D21" s="94"/>
    </row>
    <row r="22" spans="1:9" ht="31.5" customHeight="1">
      <c r="A22" s="94"/>
      <c r="B22" s="95"/>
      <c r="C22" s="96"/>
      <c r="D22" s="94"/>
    </row>
    <row r="23" spans="1:9" ht="31.5" customHeight="1">
      <c r="A23" s="87"/>
      <c r="D23" s="87"/>
    </row>
    <row r="24" spans="1:9" ht="31.5" customHeight="1">
      <c r="A24" s="87"/>
      <c r="D24" s="87"/>
    </row>
    <row r="25" spans="1:9" s="86" customFormat="1" ht="31.5" customHeight="1">
      <c r="A25" s="87"/>
      <c r="B25" s="88"/>
      <c r="C25" s="87"/>
      <c r="D25" s="87"/>
      <c r="E25" s="119"/>
      <c r="F25" s="120"/>
      <c r="G25" s="120"/>
      <c r="H25" s="120"/>
      <c r="I25" s="120"/>
    </row>
    <row r="26" spans="1:9" s="86" customFormat="1" ht="31.5" customHeight="1">
      <c r="A26" s="85"/>
      <c r="B26" s="88"/>
      <c r="C26" s="87"/>
      <c r="D26" s="85"/>
      <c r="E26" s="120"/>
      <c r="F26" s="120"/>
      <c r="G26" s="120"/>
      <c r="H26" s="120"/>
      <c r="I26" s="120"/>
    </row>
    <row r="44" spans="4:4" ht="31.5" customHeight="1">
      <c r="D44" s="89"/>
    </row>
    <row r="45" spans="4:4" ht="31.5" customHeight="1">
      <c r="D45" s="87"/>
    </row>
    <row r="46" spans="4:4" ht="31.5" customHeight="1">
      <c r="D46" s="87"/>
    </row>
    <row r="47" spans="4:4" ht="31.5" customHeight="1">
      <c r="D47" s="90"/>
    </row>
  </sheetData>
  <autoFilter ref="A1:I1"/>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dimension ref="A1:E44"/>
  <sheetViews>
    <sheetView workbookViewId="0">
      <selection activeCell="E4" sqref="E4"/>
    </sheetView>
  </sheetViews>
  <sheetFormatPr defaultColWidth="20.7109375" defaultRowHeight="31.5" customHeight="1"/>
  <cols>
    <col min="1" max="1" width="35.140625" style="1" customWidth="1"/>
    <col min="2" max="2" width="12.140625" style="1" customWidth="1"/>
    <col min="3" max="3" width="15.5703125" style="114" bestFit="1" customWidth="1"/>
    <col min="4" max="4" width="10.42578125" style="1" bestFit="1" customWidth="1"/>
    <col min="5" max="16384" width="20.7109375" style="1"/>
  </cols>
  <sheetData>
    <row r="1" spans="1:4" s="111" customFormat="1" ht="18.75">
      <c r="A1" s="109" t="s">
        <v>34</v>
      </c>
      <c r="B1" s="109" t="s">
        <v>35</v>
      </c>
      <c r="C1" s="110" t="s">
        <v>36</v>
      </c>
      <c r="D1" s="109" t="s">
        <v>37</v>
      </c>
    </row>
    <row r="2" spans="1:4" ht="37.5">
      <c r="A2" s="112" t="s">
        <v>100</v>
      </c>
      <c r="B2" s="112">
        <v>429</v>
      </c>
      <c r="C2" s="113" t="s">
        <v>298</v>
      </c>
      <c r="D2" s="112">
        <v>2596</v>
      </c>
    </row>
    <row r="3" spans="1:4" ht="37.5">
      <c r="A3" s="112" t="s">
        <v>100</v>
      </c>
      <c r="B3" s="112">
        <v>429</v>
      </c>
      <c r="C3" s="113" t="s">
        <v>298</v>
      </c>
      <c r="D3" s="112">
        <v>2596</v>
      </c>
    </row>
    <row r="4" spans="1:4" ht="37.5">
      <c r="A4" s="112" t="s">
        <v>100</v>
      </c>
      <c r="B4" s="112">
        <v>429</v>
      </c>
      <c r="C4" s="113" t="s">
        <v>298</v>
      </c>
      <c r="D4" s="112">
        <v>2596</v>
      </c>
    </row>
    <row r="5" spans="1:4" ht="37.5">
      <c r="A5" s="112" t="s">
        <v>179</v>
      </c>
      <c r="B5" s="112">
        <v>428</v>
      </c>
      <c r="C5" s="113">
        <v>43896</v>
      </c>
      <c r="D5" s="112">
        <v>1534</v>
      </c>
    </row>
    <row r="6" spans="1:4" ht="37.5">
      <c r="A6" s="112" t="s">
        <v>112</v>
      </c>
      <c r="B6" s="112">
        <v>427</v>
      </c>
      <c r="C6" s="113">
        <v>43896</v>
      </c>
      <c r="D6" s="112">
        <v>3658</v>
      </c>
    </row>
    <row r="7" spans="1:4" ht="37.5">
      <c r="A7" s="112" t="s">
        <v>178</v>
      </c>
      <c r="B7" s="112">
        <v>426</v>
      </c>
      <c r="C7" s="113" t="s">
        <v>297</v>
      </c>
      <c r="D7" s="112">
        <v>6785</v>
      </c>
    </row>
    <row r="8" spans="1:4" ht="18.75">
      <c r="A8" s="112" t="s">
        <v>119</v>
      </c>
      <c r="B8" s="112">
        <v>421</v>
      </c>
      <c r="C8" s="113" t="s">
        <v>290</v>
      </c>
      <c r="D8" s="112">
        <v>10974</v>
      </c>
    </row>
    <row r="9" spans="1:4" ht="18.75">
      <c r="A9" s="112" t="s">
        <v>114</v>
      </c>
      <c r="B9" s="112">
        <v>422</v>
      </c>
      <c r="C9" s="113">
        <v>43972</v>
      </c>
      <c r="D9" s="112">
        <v>41035</v>
      </c>
    </row>
    <row r="10" spans="1:4" s="111" customFormat="1" ht="18.75">
      <c r="A10" s="109"/>
      <c r="B10" s="109"/>
      <c r="C10" s="110"/>
      <c r="D10" s="109"/>
    </row>
    <row r="11" spans="1:4" ht="18.75">
      <c r="A11" s="112"/>
      <c r="B11" s="112"/>
      <c r="C11" s="113"/>
      <c r="D11" s="112"/>
    </row>
    <row r="12" spans="1:4" ht="18.75">
      <c r="A12" s="112"/>
      <c r="B12" s="112"/>
      <c r="C12" s="113"/>
      <c r="D12" s="112"/>
    </row>
    <row r="13" spans="1:4" ht="18.75">
      <c r="A13" s="112"/>
      <c r="B13" s="112"/>
      <c r="C13" s="113"/>
      <c r="D13" s="112"/>
    </row>
    <row r="14" spans="1:4" ht="18.75">
      <c r="A14" s="112"/>
      <c r="B14" s="112"/>
      <c r="C14" s="113"/>
      <c r="D14" s="112"/>
    </row>
    <row r="15" spans="1:4" ht="18.75">
      <c r="A15" s="112"/>
      <c r="B15" s="112"/>
      <c r="C15" s="113"/>
      <c r="D15" s="112"/>
    </row>
    <row r="16" spans="1:4" ht="18.75">
      <c r="A16" s="112"/>
      <c r="B16" s="112"/>
      <c r="C16" s="113"/>
      <c r="D16" s="112"/>
    </row>
    <row r="17" spans="1:5" ht="31.5" customHeight="1">
      <c r="A17" s="112"/>
      <c r="B17" s="112"/>
      <c r="C17" s="113"/>
      <c r="D17" s="112"/>
    </row>
    <row r="18" spans="1:5" ht="31.5" customHeight="1">
      <c r="A18" s="112"/>
      <c r="B18" s="112"/>
      <c r="C18" s="113"/>
      <c r="D18" s="112"/>
    </row>
    <row r="19" spans="1:5" ht="31.5" customHeight="1">
      <c r="A19" s="112"/>
      <c r="B19" s="112"/>
      <c r="C19" s="113"/>
      <c r="D19" s="112"/>
    </row>
    <row r="20" spans="1:5" ht="31.5" customHeight="1">
      <c r="A20" s="114"/>
      <c r="B20" s="114"/>
      <c r="D20" s="114"/>
      <c r="E20" s="114"/>
    </row>
    <row r="21" spans="1:5" ht="31.5" customHeight="1">
      <c r="A21" s="114"/>
      <c r="B21" s="114"/>
      <c r="D21" s="114"/>
      <c r="E21" s="114"/>
    </row>
    <row r="22" spans="1:5" s="111" customFormat="1" ht="31.5" customHeight="1">
      <c r="A22" s="114"/>
      <c r="B22" s="114"/>
      <c r="C22" s="114"/>
      <c r="D22" s="114"/>
      <c r="E22" s="114"/>
    </row>
    <row r="23" spans="1:5" s="111" customFormat="1" ht="31.5" customHeight="1">
      <c r="A23" s="1"/>
      <c r="B23" s="1"/>
      <c r="C23" s="114"/>
      <c r="D23" s="1"/>
    </row>
    <row r="33" spans="4:4" ht="18.75"/>
    <row r="34" spans="4:4" ht="18.75"/>
    <row r="35" spans="4:4" ht="18.75"/>
    <row r="36" spans="4:4" ht="18.75"/>
    <row r="37" spans="4:4" ht="18.75"/>
    <row r="38" spans="4:4" ht="18.75"/>
    <row r="40" spans="4:4" ht="18.75"/>
    <row r="41" spans="4:4" ht="18.75">
      <c r="D41" s="115"/>
    </row>
    <row r="42" spans="4:4" ht="18.75">
      <c r="D42" s="114"/>
    </row>
    <row r="43" spans="4:4" ht="18.75">
      <c r="D43" s="114"/>
    </row>
    <row r="44" spans="4:4" ht="18.75">
      <c r="D44" s="1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1:V25"/>
  <sheetViews>
    <sheetView showRowColHeaders="0" workbookViewId="0">
      <selection activeCell="B3" sqref="B3:K16"/>
    </sheetView>
  </sheetViews>
  <sheetFormatPr defaultRowHeight="15"/>
  <cols>
    <col min="1" max="1" width="4.42578125" customWidth="1"/>
    <col min="12" max="12" width="4.5703125" customWidth="1"/>
    <col min="22" max="22" width="6" customWidth="1"/>
  </cols>
  <sheetData>
    <row r="1" spans="1:22">
      <c r="A1" s="193"/>
      <c r="B1" s="196" t="s">
        <v>25</v>
      </c>
      <c r="C1" s="197"/>
      <c r="D1" s="197"/>
      <c r="E1" s="197"/>
      <c r="F1" s="197"/>
      <c r="G1" s="197"/>
      <c r="H1" s="197"/>
      <c r="I1" s="197"/>
      <c r="J1" s="197"/>
      <c r="K1" s="197"/>
      <c r="L1" s="2"/>
      <c r="M1" s="194" t="s">
        <v>27</v>
      </c>
      <c r="N1" s="195"/>
      <c r="O1" s="195"/>
      <c r="P1" s="195"/>
      <c r="Q1" s="195"/>
      <c r="R1" s="195"/>
      <c r="S1" s="195"/>
      <c r="T1" s="195"/>
      <c r="U1" s="195"/>
      <c r="V1" s="195"/>
    </row>
    <row r="2" spans="1:22">
      <c r="A2" s="193"/>
      <c r="B2" s="197"/>
      <c r="C2" s="197"/>
      <c r="D2" s="197"/>
      <c r="E2" s="197"/>
      <c r="F2" s="197"/>
      <c r="G2" s="197"/>
      <c r="H2" s="197"/>
      <c r="I2" s="197"/>
      <c r="J2" s="197"/>
      <c r="K2" s="197"/>
      <c r="L2" s="2"/>
      <c r="M2" s="195"/>
      <c r="N2" s="195"/>
      <c r="O2" s="195"/>
      <c r="P2" s="195"/>
      <c r="Q2" s="195"/>
      <c r="R2" s="195"/>
      <c r="S2" s="195"/>
      <c r="T2" s="195"/>
      <c r="U2" s="195"/>
      <c r="V2" s="195"/>
    </row>
    <row r="3" spans="1:22" ht="15" customHeight="1">
      <c r="A3" s="193"/>
      <c r="B3" s="198" t="s">
        <v>44</v>
      </c>
      <c r="C3" s="198"/>
      <c r="D3" s="198"/>
      <c r="E3" s="198"/>
      <c r="F3" s="198"/>
      <c r="G3" s="198"/>
      <c r="H3" s="198"/>
      <c r="I3" s="198"/>
      <c r="J3" s="198"/>
      <c r="K3" s="198"/>
      <c r="L3" s="2"/>
      <c r="M3" s="3"/>
      <c r="N3" s="3"/>
      <c r="O3" s="3"/>
      <c r="P3" s="3"/>
      <c r="Q3" s="3"/>
      <c r="R3" s="3"/>
      <c r="S3" s="3"/>
      <c r="T3" s="3"/>
      <c r="U3" s="3"/>
      <c r="V3" s="2"/>
    </row>
    <row r="4" spans="1:22" ht="15" customHeight="1">
      <c r="A4" s="193"/>
      <c r="B4" s="198"/>
      <c r="C4" s="198"/>
      <c r="D4" s="198"/>
      <c r="E4" s="198"/>
      <c r="F4" s="198"/>
      <c r="G4" s="198"/>
      <c r="H4" s="198"/>
      <c r="I4" s="198"/>
      <c r="J4" s="198"/>
      <c r="K4" s="198"/>
      <c r="L4" s="2"/>
      <c r="M4" s="3"/>
      <c r="N4" s="3"/>
      <c r="O4" s="3"/>
      <c r="P4" s="3"/>
      <c r="Q4" s="3"/>
      <c r="R4" s="3"/>
      <c r="S4" s="3"/>
      <c r="T4" s="3"/>
      <c r="U4" s="3"/>
      <c r="V4" s="2"/>
    </row>
    <row r="5" spans="1:22" ht="15" customHeight="1">
      <c r="A5" s="193"/>
      <c r="B5" s="198"/>
      <c r="C5" s="198"/>
      <c r="D5" s="198"/>
      <c r="E5" s="198"/>
      <c r="F5" s="198"/>
      <c r="G5" s="198"/>
      <c r="H5" s="198"/>
      <c r="I5" s="198"/>
      <c r="J5" s="198"/>
      <c r="K5" s="198"/>
      <c r="L5" s="2"/>
      <c r="M5" s="3"/>
      <c r="N5" s="3"/>
      <c r="O5" s="3"/>
      <c r="P5" s="3"/>
      <c r="Q5" s="3"/>
      <c r="R5" s="3"/>
      <c r="S5" s="3"/>
      <c r="T5" s="3"/>
      <c r="U5" s="3"/>
      <c r="V5" s="2"/>
    </row>
    <row r="6" spans="1:22" ht="15" customHeight="1">
      <c r="A6" s="193"/>
      <c r="B6" s="198"/>
      <c r="C6" s="198"/>
      <c r="D6" s="198"/>
      <c r="E6" s="198"/>
      <c r="F6" s="198"/>
      <c r="G6" s="198"/>
      <c r="H6" s="198"/>
      <c r="I6" s="198"/>
      <c r="J6" s="198"/>
      <c r="K6" s="198"/>
      <c r="L6" s="2"/>
      <c r="M6" s="3"/>
      <c r="N6" s="3"/>
      <c r="O6" s="3"/>
      <c r="P6" s="3"/>
      <c r="Q6" s="3"/>
      <c r="R6" s="3"/>
      <c r="S6" s="3"/>
      <c r="T6" s="3"/>
      <c r="U6" s="3"/>
      <c r="V6" s="2"/>
    </row>
    <row r="7" spans="1:22" ht="15" customHeight="1">
      <c r="A7" s="193"/>
      <c r="B7" s="198"/>
      <c r="C7" s="198"/>
      <c r="D7" s="198"/>
      <c r="E7" s="198"/>
      <c r="F7" s="198"/>
      <c r="G7" s="198"/>
      <c r="H7" s="198"/>
      <c r="I7" s="198"/>
      <c r="J7" s="198"/>
      <c r="K7" s="198"/>
      <c r="L7" s="2"/>
      <c r="M7" s="3"/>
      <c r="N7" s="3"/>
      <c r="O7" s="3"/>
      <c r="P7" s="3"/>
      <c r="Q7" s="3"/>
      <c r="R7" s="3"/>
      <c r="S7" s="3"/>
      <c r="T7" s="3"/>
      <c r="U7" s="3"/>
      <c r="V7" s="2"/>
    </row>
    <row r="8" spans="1:22" ht="15" customHeight="1">
      <c r="A8" s="193"/>
      <c r="B8" s="198"/>
      <c r="C8" s="198"/>
      <c r="D8" s="198"/>
      <c r="E8" s="198"/>
      <c r="F8" s="198"/>
      <c r="G8" s="198"/>
      <c r="H8" s="198"/>
      <c r="I8" s="198"/>
      <c r="J8" s="198"/>
      <c r="K8" s="198"/>
      <c r="L8" s="2"/>
      <c r="M8" s="3"/>
      <c r="N8" s="3"/>
      <c r="O8" s="3"/>
      <c r="P8" s="3"/>
      <c r="Q8" s="3"/>
      <c r="R8" s="3"/>
      <c r="S8" s="3"/>
      <c r="T8" s="3"/>
      <c r="U8" s="3"/>
      <c r="V8" s="2"/>
    </row>
    <row r="9" spans="1:22" ht="15" customHeight="1">
      <c r="A9" s="193"/>
      <c r="B9" s="198"/>
      <c r="C9" s="198"/>
      <c r="D9" s="198"/>
      <c r="E9" s="198"/>
      <c r="F9" s="198"/>
      <c r="G9" s="198"/>
      <c r="H9" s="198"/>
      <c r="I9" s="198"/>
      <c r="J9" s="198"/>
      <c r="K9" s="198"/>
      <c r="L9" s="2"/>
      <c r="M9" s="3"/>
      <c r="N9" s="3"/>
      <c r="O9" s="3"/>
      <c r="P9" s="3"/>
      <c r="Q9" s="3"/>
      <c r="R9" s="3"/>
      <c r="S9" s="3"/>
      <c r="T9" s="3"/>
      <c r="U9" s="3"/>
      <c r="V9" s="2"/>
    </row>
    <row r="10" spans="1:22" ht="15" customHeight="1">
      <c r="A10" s="193"/>
      <c r="B10" s="198"/>
      <c r="C10" s="198"/>
      <c r="D10" s="198"/>
      <c r="E10" s="198"/>
      <c r="F10" s="198"/>
      <c r="G10" s="198"/>
      <c r="H10" s="198"/>
      <c r="I10" s="198"/>
      <c r="J10" s="198"/>
      <c r="K10" s="198"/>
      <c r="L10" s="2"/>
      <c r="M10" s="3"/>
      <c r="N10" s="4"/>
      <c r="O10" s="3"/>
      <c r="P10" s="3"/>
      <c r="Q10" s="3"/>
      <c r="R10" s="3"/>
      <c r="S10" s="3"/>
      <c r="T10" s="3"/>
      <c r="U10" s="3"/>
      <c r="V10" s="2"/>
    </row>
    <row r="11" spans="1:22" ht="15" customHeight="1">
      <c r="A11" s="193"/>
      <c r="B11" s="198"/>
      <c r="C11" s="198"/>
      <c r="D11" s="198"/>
      <c r="E11" s="198"/>
      <c r="F11" s="198"/>
      <c r="G11" s="198"/>
      <c r="H11" s="198"/>
      <c r="I11" s="198"/>
      <c r="J11" s="198"/>
      <c r="K11" s="198"/>
      <c r="L11" s="2"/>
      <c r="M11" s="3"/>
      <c r="N11" s="3"/>
      <c r="O11" s="3"/>
      <c r="P11" s="3"/>
      <c r="Q11" s="3"/>
      <c r="R11" s="3"/>
      <c r="S11" s="3"/>
      <c r="T11" s="3"/>
      <c r="U11" s="3"/>
      <c r="V11" s="2"/>
    </row>
    <row r="12" spans="1:22" ht="15" customHeight="1">
      <c r="A12" s="193"/>
      <c r="B12" s="198"/>
      <c r="C12" s="198"/>
      <c r="D12" s="198"/>
      <c r="E12" s="198"/>
      <c r="F12" s="198"/>
      <c r="G12" s="198"/>
      <c r="H12" s="198"/>
      <c r="I12" s="198"/>
      <c r="J12" s="198"/>
      <c r="K12" s="198"/>
      <c r="L12" s="2"/>
      <c r="M12" s="3"/>
      <c r="N12" s="3"/>
      <c r="O12" s="3"/>
      <c r="P12" s="3"/>
      <c r="Q12" s="3"/>
      <c r="R12" s="3"/>
      <c r="S12" s="3"/>
      <c r="T12" s="3"/>
      <c r="U12" s="3"/>
      <c r="V12" s="2"/>
    </row>
    <row r="13" spans="1:22" ht="15" customHeight="1">
      <c r="A13" s="193"/>
      <c r="B13" s="198"/>
      <c r="C13" s="198"/>
      <c r="D13" s="198"/>
      <c r="E13" s="198"/>
      <c r="F13" s="198"/>
      <c r="G13" s="198"/>
      <c r="H13" s="198"/>
      <c r="I13" s="198"/>
      <c r="J13" s="198"/>
      <c r="K13" s="198"/>
      <c r="L13" s="2"/>
      <c r="M13" s="3"/>
      <c r="N13" s="3"/>
      <c r="O13" s="3"/>
      <c r="P13" s="3"/>
      <c r="Q13" s="3"/>
      <c r="R13" s="3"/>
      <c r="S13" s="3"/>
      <c r="T13" s="3"/>
      <c r="U13" s="3"/>
      <c r="V13" s="2"/>
    </row>
    <row r="14" spans="1:22" ht="15" customHeight="1">
      <c r="A14" s="193"/>
      <c r="B14" s="198"/>
      <c r="C14" s="198"/>
      <c r="D14" s="198"/>
      <c r="E14" s="198"/>
      <c r="F14" s="198"/>
      <c r="G14" s="198"/>
      <c r="H14" s="198"/>
      <c r="I14" s="198"/>
      <c r="J14" s="198"/>
      <c r="K14" s="198"/>
      <c r="L14" s="2"/>
      <c r="M14" s="3"/>
      <c r="N14" s="3"/>
      <c r="O14" s="3"/>
      <c r="P14" s="3"/>
      <c r="Q14" s="3"/>
      <c r="R14" s="3"/>
      <c r="S14" s="3"/>
      <c r="T14" s="3"/>
      <c r="U14" s="3"/>
      <c r="V14" s="2"/>
    </row>
    <row r="15" spans="1:22" ht="15" customHeight="1">
      <c r="A15" s="193"/>
      <c r="B15" s="198"/>
      <c r="C15" s="198"/>
      <c r="D15" s="198"/>
      <c r="E15" s="198"/>
      <c r="F15" s="198"/>
      <c r="G15" s="198"/>
      <c r="H15" s="198"/>
      <c r="I15" s="198"/>
      <c r="J15" s="198"/>
      <c r="K15" s="198"/>
      <c r="L15" s="2"/>
      <c r="M15" s="192" t="s">
        <v>29</v>
      </c>
      <c r="N15" s="192"/>
      <c r="O15" s="192"/>
      <c r="P15" s="192"/>
      <c r="Q15" s="192"/>
      <c r="R15" s="192"/>
      <c r="S15" s="192"/>
      <c r="T15" s="192"/>
      <c r="U15" s="192"/>
      <c r="V15" s="2"/>
    </row>
    <row r="16" spans="1:22" ht="15" customHeight="1">
      <c r="A16" s="193"/>
      <c r="B16" s="198"/>
      <c r="C16" s="198"/>
      <c r="D16" s="198"/>
      <c r="E16" s="198"/>
      <c r="F16" s="198"/>
      <c r="G16" s="198"/>
      <c r="H16" s="198"/>
      <c r="I16" s="198"/>
      <c r="J16" s="198"/>
      <c r="K16" s="198"/>
      <c r="L16" s="2"/>
      <c r="M16" s="192"/>
      <c r="N16" s="192"/>
      <c r="O16" s="192"/>
      <c r="P16" s="192"/>
      <c r="Q16" s="192"/>
      <c r="R16" s="192"/>
      <c r="S16" s="192"/>
      <c r="T16" s="192"/>
      <c r="U16" s="192"/>
      <c r="V16" s="2"/>
    </row>
    <row r="17" spans="1:22" ht="15" customHeight="1">
      <c r="A17" s="193"/>
      <c r="B17" s="196" t="s">
        <v>26</v>
      </c>
      <c r="C17" s="197"/>
      <c r="D17" s="197"/>
      <c r="E17" s="197"/>
      <c r="F17" s="197"/>
      <c r="G17" s="197"/>
      <c r="H17" s="197"/>
      <c r="I17" s="197"/>
      <c r="J17" s="197"/>
      <c r="K17" s="197"/>
      <c r="L17" s="2"/>
      <c r="M17" s="192"/>
      <c r="N17" s="192"/>
      <c r="O17" s="192"/>
      <c r="P17" s="192"/>
      <c r="Q17" s="192"/>
      <c r="R17" s="192"/>
      <c r="S17" s="192"/>
      <c r="T17" s="192"/>
      <c r="U17" s="192"/>
      <c r="V17" s="2"/>
    </row>
    <row r="18" spans="1:22" ht="15" customHeight="1">
      <c r="A18" s="193"/>
      <c r="B18" s="197"/>
      <c r="C18" s="197"/>
      <c r="D18" s="197"/>
      <c r="E18" s="197"/>
      <c r="F18" s="197"/>
      <c r="G18" s="197"/>
      <c r="H18" s="197"/>
      <c r="I18" s="197"/>
      <c r="J18" s="197"/>
      <c r="K18" s="197"/>
      <c r="L18" s="2"/>
      <c r="M18" s="192"/>
      <c r="N18" s="192"/>
      <c r="O18" s="192"/>
      <c r="P18" s="192"/>
      <c r="Q18" s="192"/>
      <c r="R18" s="192"/>
      <c r="S18" s="192"/>
      <c r="T18" s="192"/>
      <c r="U18" s="192"/>
      <c r="V18" s="2"/>
    </row>
    <row r="19" spans="1:22" ht="15" customHeight="1">
      <c r="A19" s="193"/>
      <c r="B19" s="199" t="s">
        <v>30</v>
      </c>
      <c r="C19" s="200"/>
      <c r="D19" s="200"/>
      <c r="E19" s="200"/>
      <c r="F19" s="200"/>
      <c r="G19" s="200"/>
      <c r="H19" s="200"/>
      <c r="I19" s="200"/>
      <c r="J19" s="200"/>
      <c r="K19" s="200"/>
      <c r="L19" s="2"/>
      <c r="M19" s="192"/>
      <c r="N19" s="192"/>
      <c r="O19" s="192"/>
      <c r="P19" s="192"/>
      <c r="Q19" s="192"/>
      <c r="R19" s="192"/>
      <c r="S19" s="192"/>
      <c r="T19" s="192"/>
      <c r="U19" s="192"/>
      <c r="V19" s="2"/>
    </row>
    <row r="20" spans="1:22" ht="15" customHeight="1">
      <c r="A20" s="193"/>
      <c r="B20" s="200"/>
      <c r="C20" s="200"/>
      <c r="D20" s="200"/>
      <c r="E20" s="200"/>
      <c r="F20" s="200"/>
      <c r="G20" s="200"/>
      <c r="H20" s="200"/>
      <c r="I20" s="200"/>
      <c r="J20" s="200"/>
      <c r="K20" s="200"/>
      <c r="L20" s="2"/>
      <c r="M20" s="192"/>
      <c r="N20" s="192"/>
      <c r="O20" s="192"/>
      <c r="P20" s="192"/>
      <c r="Q20" s="192"/>
      <c r="R20" s="192"/>
      <c r="S20" s="192"/>
      <c r="T20" s="192"/>
      <c r="U20" s="192"/>
      <c r="V20" s="2"/>
    </row>
    <row r="21" spans="1:22" ht="15" customHeight="1">
      <c r="A21" s="193"/>
      <c r="B21" s="200"/>
      <c r="C21" s="200"/>
      <c r="D21" s="200"/>
      <c r="E21" s="200"/>
      <c r="F21" s="200"/>
      <c r="G21" s="200"/>
      <c r="H21" s="200"/>
      <c r="I21" s="200"/>
      <c r="J21" s="200"/>
      <c r="K21" s="200"/>
      <c r="L21" s="2"/>
      <c r="M21" s="191" t="s">
        <v>28</v>
      </c>
      <c r="N21" s="191"/>
      <c r="O21" s="191"/>
      <c r="P21" s="191"/>
      <c r="Q21" s="191"/>
      <c r="R21" s="191"/>
      <c r="S21" s="191"/>
      <c r="T21" s="191"/>
      <c r="U21" s="191"/>
      <c r="V21" s="2"/>
    </row>
    <row r="22" spans="1:22" ht="15" customHeight="1">
      <c r="A22" s="193"/>
      <c r="B22" s="200"/>
      <c r="C22" s="200"/>
      <c r="D22" s="200"/>
      <c r="E22" s="200"/>
      <c r="F22" s="200"/>
      <c r="G22" s="200"/>
      <c r="H22" s="200"/>
      <c r="I22" s="200"/>
      <c r="J22" s="200"/>
      <c r="K22" s="200"/>
      <c r="L22" s="2"/>
      <c r="M22" s="191"/>
      <c r="N22" s="191"/>
      <c r="O22" s="191"/>
      <c r="P22" s="191"/>
      <c r="Q22" s="191"/>
      <c r="R22" s="191"/>
      <c r="S22" s="191"/>
      <c r="T22" s="191"/>
      <c r="U22" s="191"/>
      <c r="V22" s="2"/>
    </row>
    <row r="23" spans="1:22" ht="15" customHeight="1">
      <c r="A23" s="193"/>
      <c r="B23" s="200"/>
      <c r="C23" s="200"/>
      <c r="D23" s="200"/>
      <c r="E23" s="200"/>
      <c r="F23" s="200"/>
      <c r="G23" s="200"/>
      <c r="H23" s="200"/>
      <c r="I23" s="200"/>
      <c r="J23" s="200"/>
      <c r="K23" s="200"/>
      <c r="L23" s="2"/>
      <c r="M23" s="191"/>
      <c r="N23" s="191"/>
      <c r="O23" s="191"/>
      <c r="P23" s="191"/>
      <c r="Q23" s="191"/>
      <c r="R23" s="191"/>
      <c r="S23" s="191"/>
      <c r="T23" s="191"/>
      <c r="U23" s="191"/>
      <c r="V23" s="2"/>
    </row>
    <row r="24" spans="1:22" ht="15" customHeight="1">
      <c r="A24" s="193"/>
      <c r="B24" s="200"/>
      <c r="C24" s="200"/>
      <c r="D24" s="200"/>
      <c r="E24" s="200"/>
      <c r="F24" s="200"/>
      <c r="G24" s="200"/>
      <c r="H24" s="200"/>
      <c r="I24" s="200"/>
      <c r="J24" s="200"/>
      <c r="K24" s="200"/>
      <c r="L24" s="2"/>
      <c r="M24" s="191"/>
      <c r="N24" s="191"/>
      <c r="O24" s="191"/>
      <c r="P24" s="191"/>
      <c r="Q24" s="191"/>
      <c r="R24" s="191"/>
      <c r="S24" s="191"/>
      <c r="T24" s="191"/>
      <c r="U24" s="191"/>
      <c r="V24" s="2"/>
    </row>
    <row r="25" spans="1:22">
      <c r="A25" s="193"/>
      <c r="B25" s="193"/>
      <c r="C25" s="193"/>
      <c r="D25" s="193"/>
      <c r="E25" s="193"/>
      <c r="F25" s="193"/>
      <c r="G25" s="193"/>
      <c r="H25" s="193"/>
      <c r="I25" s="193"/>
      <c r="J25" s="193"/>
      <c r="K25" s="193"/>
      <c r="L25" s="2"/>
      <c r="M25" s="2"/>
      <c r="N25" s="2"/>
      <c r="O25" s="2"/>
      <c r="P25" s="2"/>
      <c r="Q25" s="2"/>
      <c r="R25" s="2"/>
      <c r="S25" s="2"/>
      <c r="T25" s="2"/>
      <c r="U25" s="2"/>
      <c r="V25" s="2"/>
    </row>
  </sheetData>
  <sheetProtection password="E90E" sheet="1" objects="1" scenarios="1"/>
  <mergeCells count="9">
    <mergeCell ref="M21:U24"/>
    <mergeCell ref="M15:U20"/>
    <mergeCell ref="A25:K25"/>
    <mergeCell ref="M1:V2"/>
    <mergeCell ref="B1:K2"/>
    <mergeCell ref="B3:K16"/>
    <mergeCell ref="B19:K24"/>
    <mergeCell ref="B17:K18"/>
    <mergeCell ref="A1:A24"/>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My_Sheet</vt:lpstr>
      <vt:lpstr>Customers</vt:lpstr>
      <vt:lpstr>Products</vt:lpstr>
      <vt:lpstr>Sales Report</vt:lpstr>
      <vt:lpstr>rough sheet</vt:lpstr>
      <vt:lpstr>INSTRUCTIONS &amp; DEVELOPER INFO</vt:lpstr>
      <vt:lpstr>CUSTOMER</vt:lpstr>
      <vt:lpstr>My_Sheet!Print_Area</vt:lpstr>
      <vt:lpstr>PRODUCTS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Stanley Roy</dc:creator>
  <cp:lastModifiedBy>Selva</cp:lastModifiedBy>
  <cp:lastPrinted>2020-06-24T12:49:56Z</cp:lastPrinted>
  <dcterms:created xsi:type="dcterms:W3CDTF">2019-10-15T06:05:28Z</dcterms:created>
  <dcterms:modified xsi:type="dcterms:W3CDTF">2020-06-24T12:50:56Z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4367a7db-5f8a-4e38-b983-e42187846ea9</vt:lpwstr>
  </property>
</Properties>
</file>