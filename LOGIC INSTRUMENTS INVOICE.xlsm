
<file path=[Content_Types].xml><?xml version="1.0" encoding="utf-8"?>
<Types xmlns="http://schemas.openxmlformats.org/package/2006/content-types">
  <Default Extension="bin" ContentType="application/vnd.openxmlformats-officedocument.spreadsheetml.printerSettings"/>
  <Default Extension="png" ContentType="image/png"/>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tables/table2.xml" ContentType="application/vnd.openxmlformats-officedocument.spreadsheetml.table+xml"/>
  <Default Extension="emf" ContentType="image/x-emf"/>
  <Override PartName="/xl/vbaProject.bin" ContentType="application/vnd.ms-office.vbaProject"/>
  <Default Extension="rels" ContentType="application/vnd.openxmlformats-package.relationships+xml"/>
  <Default Extension="wmf" ContentType="image/x-wmf"/>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activeX/activeX2.xml" ContentType="application/vnd.ms-office.activeX+xml"/>
  <Override PartName="/xl/activeX/activeX3.xml" ContentType="application/vnd.ms-office.activeX+xml"/>
  <Override PartName="/xl/activeX/activeX4.xml" ContentType="application/vnd.ms-office.activeX+xml"/>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activeX/activeX1.xml" ContentType="application/vnd.ms-office.activeX+xml"/>
  <Override PartName="/xl/comments2.xml" ContentType="application/vnd.openxmlformats-officedocument.spreadsheetml.comments+xml"/>
  <Override PartName="/xl/comments3.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7" rupBuild="4505" codeName="{37E998C4-C9E5-D4B9-71C8-EB1FF731991C}"/>
  <workbookPr codeName="ThisWorkbook"/>
  <bookViews>
    <workbookView xWindow="0" yWindow="0" windowWidth="20730" windowHeight="11760"/>
  </bookViews>
  <sheets>
    <sheet name="My_Sheet" sheetId="1" r:id="rId1"/>
    <sheet name="Customers" sheetId="2" r:id="rId2"/>
    <sheet name="Products" sheetId="3" r:id="rId3"/>
    <sheet name="Sales Report" sheetId="4" r:id="rId4"/>
    <sheet name="INSTRUCTIONS &amp; DEVELOPER INFO" sheetId="6" r:id="rId5"/>
  </sheets>
  <functionGroups/>
  <definedNames>
    <definedName name="_xlnm._FilterDatabase" localSheetId="3" hidden="1">'Sales Report'!$A$1:$I$1</definedName>
    <definedName name="CUSTOMER">Table1[Name]</definedName>
    <definedName name="customer_easy_list">OFFSET(Customers!$G$2,,,COUNTIF(Customers!$G$2:$G$1000,"?*"))</definedName>
    <definedName name="_xlnm.Print_Area" localSheetId="0">My_Sheet!$A$1:$F$42</definedName>
    <definedName name="product_easy_search">IFERROR(OFFSET(My_Sheet!$G$2,,,COUNTIF(My_Sheet!$G$2:$G$1048576,"?*")),"")</definedName>
    <definedName name="PRODUCTS">Table2[PRODUCT]</definedName>
  </definedNames>
  <calcPr calcId="124519" iterate="1"/>
  <extLst xmlns:x15="http://schemas.microsoft.com/office/spreadsheetml/2010/11/main">
    <ext uri="{140A7094-0E35-4892-8432-C4D2E57EDEB5}">
      <x15:workbookPr chartTrackingRefBase="1"/>
    </ext>
  </extLst>
</workbook>
</file>

<file path=xl/calcChain.xml><?xml version="1.0" encoding="utf-8"?>
<calcChain xmlns="http://schemas.openxmlformats.org/spreadsheetml/2006/main">
  <c r="B12" i="1"/>
  <c r="C15"/>
  <c r="E14"/>
  <c r="E15"/>
  <c r="E25"/>
  <c r="F25" s="1"/>
  <c r="C14"/>
  <c r="A20"/>
  <c r="E23"/>
  <c r="B9"/>
  <c r="E9"/>
  <c r="A23"/>
  <c r="G2" i="3"/>
  <c r="A3"/>
  <c r="A4"/>
  <c r="E19" i="1"/>
  <c r="E22"/>
  <c r="E24"/>
  <c r="E26"/>
  <c r="E21"/>
  <c r="A15" l="1"/>
  <c r="A16"/>
  <c r="C16"/>
  <c r="A17"/>
  <c r="C17"/>
  <c r="A18"/>
  <c r="C18"/>
  <c r="A19"/>
  <c r="C19"/>
  <c r="C20"/>
  <c r="A21"/>
  <c r="C21"/>
  <c r="A22"/>
  <c r="C22"/>
  <c r="C23"/>
  <c r="A24"/>
  <c r="C24"/>
  <c r="A25"/>
  <c r="C25"/>
  <c r="A26"/>
  <c r="C26"/>
  <c r="A27"/>
  <c r="C27"/>
  <c r="A28"/>
  <c r="C28"/>
  <c r="A29"/>
  <c r="C29"/>
  <c r="A14" l="1"/>
  <c r="A26" i="2"/>
  <c r="A27"/>
  <c r="A28"/>
  <c r="A29"/>
  <c r="A30"/>
  <c r="A31"/>
  <c r="A32"/>
  <c r="A33"/>
  <c r="A34"/>
  <c r="A35"/>
  <c r="A36"/>
  <c r="A37"/>
  <c r="A38"/>
  <c r="A39"/>
  <c r="A40"/>
  <c r="A41"/>
  <c r="A42"/>
  <c r="A43"/>
  <c r="A44"/>
  <c r="A45"/>
  <c r="A46"/>
  <c r="A47"/>
  <c r="A48"/>
  <c r="A49"/>
  <c r="A50"/>
  <c r="A51"/>
  <c r="A52"/>
  <c r="A53"/>
  <c r="A54"/>
  <c r="A55"/>
  <c r="A56"/>
  <c r="A57"/>
  <c r="A58"/>
  <c r="A59"/>
  <c r="A60"/>
  <c r="A61"/>
  <c r="A62"/>
  <c r="A63"/>
  <c r="A64"/>
  <c r="A65"/>
  <c r="A66"/>
  <c r="A67"/>
  <c r="A68"/>
  <c r="A69"/>
  <c r="A70"/>
  <c r="A71"/>
  <c r="A72"/>
  <c r="A73"/>
  <c r="A74"/>
  <c r="A75"/>
  <c r="A76"/>
  <c r="A77"/>
  <c r="A78"/>
  <c r="A79"/>
  <c r="A80"/>
  <c r="A81"/>
  <c r="A82"/>
  <c r="A83"/>
  <c r="A84"/>
  <c r="A85"/>
  <c r="A86"/>
  <c r="A87"/>
  <c r="A88"/>
  <c r="A89"/>
  <c r="A90"/>
  <c r="A91"/>
  <c r="A92"/>
  <c r="A93"/>
  <c r="A94"/>
  <c r="A95"/>
  <c r="A96"/>
  <c r="A97"/>
  <c r="A98"/>
  <c r="A99"/>
  <c r="A100"/>
  <c r="A101"/>
  <c r="A102"/>
  <c r="A103"/>
  <c r="A104"/>
  <c r="A105"/>
  <c r="A106"/>
  <c r="A107"/>
  <c r="A108"/>
  <c r="A109"/>
  <c r="A110"/>
  <c r="A111"/>
  <c r="A112"/>
  <c r="A113"/>
  <c r="A114"/>
  <c r="A115"/>
  <c r="A116"/>
  <c r="A117"/>
  <c r="A118"/>
  <c r="A119"/>
  <c r="A120"/>
  <c r="A121"/>
  <c r="A122"/>
  <c r="A123"/>
  <c r="A124"/>
  <c r="A125"/>
  <c r="A126"/>
  <c r="A127"/>
  <c r="A128"/>
  <c r="A129"/>
  <c r="A130"/>
  <c r="A131"/>
  <c r="A132"/>
  <c r="A133"/>
  <c r="A134"/>
  <c r="A135"/>
  <c r="A136"/>
  <c r="A137"/>
  <c r="A138"/>
  <c r="A139"/>
  <c r="A140"/>
  <c r="A141"/>
  <c r="A142"/>
  <c r="A143"/>
  <c r="A144"/>
  <c r="A145"/>
  <c r="A146"/>
  <c r="A147"/>
  <c r="A148"/>
  <c r="A149"/>
  <c r="A150"/>
  <c r="A151"/>
  <c r="A152"/>
  <c r="A153"/>
  <c r="A154"/>
  <c r="A155"/>
  <c r="A156"/>
  <c r="A157"/>
  <c r="A158"/>
  <c r="A159"/>
  <c r="A160"/>
  <c r="A161"/>
  <c r="A162"/>
  <c r="A163"/>
  <c r="A164"/>
  <c r="A165"/>
  <c r="A166"/>
  <c r="A167"/>
  <c r="A168"/>
  <c r="A169"/>
  <c r="A170"/>
  <c r="A171"/>
  <c r="A172"/>
  <c r="A173"/>
  <c r="A174"/>
  <c r="A175"/>
  <c r="A176"/>
  <c r="A177"/>
  <c r="A178"/>
  <c r="A179"/>
  <c r="A180"/>
  <c r="A181"/>
  <c r="A182"/>
  <c r="A183"/>
  <c r="A184"/>
  <c r="A185"/>
  <c r="A186"/>
  <c r="A187"/>
  <c r="A188"/>
  <c r="A189"/>
  <c r="A190"/>
  <c r="A191"/>
  <c r="A192"/>
  <c r="A193"/>
  <c r="A194"/>
  <c r="A195"/>
  <c r="A196"/>
  <c r="A197"/>
  <c r="A198"/>
  <c r="A199"/>
  <c r="A200"/>
  <c r="A201"/>
  <c r="A202"/>
  <c r="A203"/>
  <c r="A204"/>
  <c r="A205"/>
  <c r="A206"/>
  <c r="A207"/>
  <c r="A208"/>
  <c r="A209"/>
  <c r="A210"/>
  <c r="A211"/>
  <c r="A212"/>
  <c r="A213"/>
  <c r="A214"/>
  <c r="A215"/>
  <c r="A216"/>
  <c r="A217"/>
  <c r="A218"/>
  <c r="A219"/>
  <c r="A220"/>
  <c r="A221"/>
  <c r="A222"/>
  <c r="A223"/>
  <c r="A224"/>
  <c r="A225"/>
  <c r="A226"/>
  <c r="A227"/>
  <c r="A228"/>
  <c r="A229"/>
  <c r="A230"/>
  <c r="A231"/>
  <c r="A232"/>
  <c r="A233"/>
  <c r="A234"/>
  <c r="A235"/>
  <c r="A236"/>
  <c r="A237"/>
  <c r="A238"/>
  <c r="A239"/>
  <c r="A240"/>
  <c r="A241"/>
  <c r="A242"/>
  <c r="A243"/>
  <c r="A244"/>
  <c r="A245"/>
  <c r="A246"/>
  <c r="A247"/>
  <c r="A248"/>
  <c r="A249"/>
  <c r="A250"/>
  <c r="A251"/>
  <c r="A252"/>
  <c r="A253"/>
  <c r="A254"/>
  <c r="A255"/>
  <c r="A256"/>
  <c r="A257"/>
  <c r="A258"/>
  <c r="A259"/>
  <c r="A260"/>
  <c r="A261"/>
  <c r="A262"/>
  <c r="A263"/>
  <c r="A264"/>
  <c r="A265"/>
  <c r="A266"/>
  <c r="A267"/>
  <c r="A268"/>
  <c r="A269"/>
  <c r="A270"/>
  <c r="A271"/>
  <c r="A272"/>
  <c r="A273"/>
  <c r="A274"/>
  <c r="A275"/>
  <c r="A276"/>
  <c r="A277"/>
  <c r="A278"/>
  <c r="A279"/>
  <c r="A280"/>
  <c r="A281"/>
  <c r="A282"/>
  <c r="A283"/>
  <c r="A284"/>
  <c r="A285"/>
  <c r="A286"/>
  <c r="A287"/>
  <c r="A288"/>
  <c r="A289"/>
  <c r="A290"/>
  <c r="A291"/>
  <c r="A292"/>
  <c r="A293"/>
  <c r="A294"/>
  <c r="A295"/>
  <c r="A296"/>
  <c r="A297"/>
  <c r="A298"/>
  <c r="A299"/>
  <c r="A300"/>
  <c r="A301"/>
  <c r="A302"/>
  <c r="A303"/>
  <c r="A304"/>
  <c r="A305"/>
  <c r="A306"/>
  <c r="A307"/>
  <c r="A308"/>
  <c r="A309"/>
  <c r="A310"/>
  <c r="A311"/>
  <c r="A312"/>
  <c r="A313"/>
  <c r="A314"/>
  <c r="A315"/>
  <c r="A316"/>
  <c r="A317"/>
  <c r="A318"/>
  <c r="A319"/>
  <c r="A320"/>
  <c r="A321"/>
  <c r="A322"/>
  <c r="A323"/>
  <c r="A324"/>
  <c r="A325"/>
  <c r="A326"/>
  <c r="A327"/>
  <c r="A328"/>
  <c r="A329"/>
  <c r="A330"/>
  <c r="A331"/>
  <c r="A332"/>
  <c r="A333"/>
  <c r="A334"/>
  <c r="A335"/>
  <c r="A336"/>
  <c r="A337"/>
  <c r="A338"/>
  <c r="A339"/>
  <c r="A340"/>
  <c r="A341"/>
  <c r="A342"/>
  <c r="A343"/>
  <c r="A344"/>
  <c r="A345"/>
  <c r="A346"/>
  <c r="A347"/>
  <c r="A348"/>
  <c r="A349"/>
  <c r="A350"/>
  <c r="A351"/>
  <c r="A352"/>
  <c r="A353"/>
  <c r="A354"/>
  <c r="A355"/>
  <c r="A356"/>
  <c r="A357"/>
  <c r="A358"/>
  <c r="A359"/>
  <c r="A360"/>
  <c r="A361"/>
  <c r="A362"/>
  <c r="A363"/>
  <c r="A364"/>
  <c r="A365"/>
  <c r="A366"/>
  <c r="A367"/>
  <c r="A368"/>
  <c r="A369"/>
  <c r="A370"/>
  <c r="A371"/>
  <c r="A372"/>
  <c r="A373"/>
  <c r="A374"/>
  <c r="A375"/>
  <c r="A376"/>
  <c r="A377"/>
  <c r="A378"/>
  <c r="A379"/>
  <c r="A380"/>
  <c r="A381"/>
  <c r="A382"/>
  <c r="A383"/>
  <c r="A384"/>
  <c r="A385"/>
  <c r="A386"/>
  <c r="A387"/>
  <c r="A388"/>
  <c r="A389"/>
  <c r="A390"/>
  <c r="A391"/>
  <c r="A392"/>
  <c r="A393"/>
  <c r="A394"/>
  <c r="A395"/>
  <c r="A396"/>
  <c r="A397"/>
  <c r="A398"/>
  <c r="A399"/>
  <c r="A400"/>
  <c r="A401"/>
  <c r="A402"/>
  <c r="A403"/>
  <c r="A404"/>
  <c r="A405"/>
  <c r="A406"/>
  <c r="A407"/>
  <c r="A408"/>
  <c r="A409"/>
  <c r="A410"/>
  <c r="A411"/>
  <c r="A412"/>
  <c r="A413"/>
  <c r="A414"/>
  <c r="A415"/>
  <c r="A416"/>
  <c r="A417"/>
  <c r="A418"/>
  <c r="A419"/>
  <c r="A420"/>
  <c r="A421"/>
  <c r="A422"/>
  <c r="A423"/>
  <c r="A424"/>
  <c r="A425"/>
  <c r="A426"/>
  <c r="A427"/>
  <c r="A428"/>
  <c r="A429"/>
  <c r="A430"/>
  <c r="A431"/>
  <c r="A432"/>
  <c r="A433"/>
  <c r="A434"/>
  <c r="A435"/>
  <c r="A436"/>
  <c r="A437"/>
  <c r="A438"/>
  <c r="A439"/>
  <c r="A440"/>
  <c r="A441"/>
  <c r="A442"/>
  <c r="A443"/>
  <c r="A444"/>
  <c r="A445"/>
  <c r="A446"/>
  <c r="A447"/>
  <c r="A448"/>
  <c r="A449"/>
  <c r="A450"/>
  <c r="A451"/>
  <c r="A452"/>
  <c r="A453"/>
  <c r="A454"/>
  <c r="A455"/>
  <c r="A456"/>
  <c r="A457"/>
  <c r="A458"/>
  <c r="A459"/>
  <c r="A460"/>
  <c r="A461"/>
  <c r="A462"/>
  <c r="A463"/>
  <c r="A464"/>
  <c r="A465"/>
  <c r="A466"/>
  <c r="A467"/>
  <c r="A468"/>
  <c r="A469"/>
  <c r="A470"/>
  <c r="A471"/>
  <c r="A472"/>
  <c r="A473"/>
  <c r="A474"/>
  <c r="A475"/>
  <c r="A476"/>
  <c r="A477"/>
  <c r="A478"/>
  <c r="A479"/>
  <c r="A480"/>
  <c r="A481"/>
  <c r="A482"/>
  <c r="A483"/>
  <c r="A484"/>
  <c r="A485"/>
  <c r="A486"/>
  <c r="A487"/>
  <c r="A488"/>
  <c r="A489"/>
  <c r="A490"/>
  <c r="A491"/>
  <c r="A492"/>
  <c r="A493"/>
  <c r="A494"/>
  <c r="A495"/>
  <c r="A496"/>
  <c r="A497"/>
  <c r="A498"/>
  <c r="A499"/>
  <c r="A500"/>
  <c r="A501"/>
  <c r="A502"/>
  <c r="A503"/>
  <c r="A504"/>
  <c r="A505"/>
  <c r="A506"/>
  <c r="A507"/>
  <c r="A508"/>
  <c r="A509"/>
  <c r="A510"/>
  <c r="A511"/>
  <c r="A512"/>
  <c r="A513"/>
  <c r="A514"/>
  <c r="A515"/>
  <c r="A516"/>
  <c r="A517"/>
  <c r="A518"/>
  <c r="A519"/>
  <c r="A520"/>
  <c r="A521"/>
  <c r="A522"/>
  <c r="A523"/>
  <c r="A524"/>
  <c r="A525"/>
  <c r="A526"/>
  <c r="A527"/>
  <c r="A528"/>
  <c r="A529"/>
  <c r="A530"/>
  <c r="A531"/>
  <c r="A532"/>
  <c r="A533"/>
  <c r="A534"/>
  <c r="A535"/>
  <c r="A536"/>
  <c r="A537"/>
  <c r="A538"/>
  <c r="A539"/>
  <c r="A540"/>
  <c r="A541"/>
  <c r="A542"/>
  <c r="A543"/>
  <c r="A544"/>
  <c r="A545"/>
  <c r="A546"/>
  <c r="A547"/>
  <c r="A548"/>
  <c r="A549"/>
  <c r="A550"/>
  <c r="A551"/>
  <c r="A552"/>
  <c r="A553"/>
  <c r="A554"/>
  <c r="A555"/>
  <c r="A556"/>
  <c r="A557"/>
  <c r="A558"/>
  <c r="A559"/>
  <c r="A560"/>
  <c r="A561"/>
  <c r="A562"/>
  <c r="A563"/>
  <c r="A564"/>
  <c r="A565"/>
  <c r="A566"/>
  <c r="A567"/>
  <c r="A568"/>
  <c r="A569"/>
  <c r="A570"/>
  <c r="A571"/>
  <c r="A572"/>
  <c r="A573"/>
  <c r="A574"/>
  <c r="A575"/>
  <c r="A576"/>
  <c r="A577"/>
  <c r="A578"/>
  <c r="A579"/>
  <c r="A580"/>
  <c r="A581"/>
  <c r="A582"/>
  <c r="A583"/>
  <c r="A584"/>
  <c r="A585"/>
  <c r="A586"/>
  <c r="A587"/>
  <c r="A588"/>
  <c r="A589"/>
  <c r="A590"/>
  <c r="A591"/>
  <c r="A592"/>
  <c r="A593"/>
  <c r="A594"/>
  <c r="A595"/>
  <c r="A596"/>
  <c r="A597"/>
  <c r="A598"/>
  <c r="A599"/>
  <c r="A600"/>
  <c r="A601"/>
  <c r="A602"/>
  <c r="A603"/>
  <c r="A604"/>
  <c r="A605"/>
  <c r="A606"/>
  <c r="A607"/>
  <c r="A608"/>
  <c r="A609"/>
  <c r="A610"/>
  <c r="A611"/>
  <c r="A612"/>
  <c r="A613"/>
  <c r="A614"/>
  <c r="A615"/>
  <c r="A616"/>
  <c r="A617"/>
  <c r="A618"/>
  <c r="A619"/>
  <c r="A620"/>
  <c r="A621"/>
  <c r="A622"/>
  <c r="A623"/>
  <c r="A624"/>
  <c r="A625"/>
  <c r="A626"/>
  <c r="A627"/>
  <c r="A628"/>
  <c r="A629"/>
  <c r="A630"/>
  <c r="A631"/>
  <c r="A632"/>
  <c r="A633"/>
  <c r="A634"/>
  <c r="A635"/>
  <c r="A636"/>
  <c r="A637"/>
  <c r="A638"/>
  <c r="A639"/>
  <c r="A640"/>
  <c r="A641"/>
  <c r="A642"/>
  <c r="A643"/>
  <c r="A644"/>
  <c r="A645"/>
  <c r="A646"/>
  <c r="A647"/>
  <c r="A648"/>
  <c r="A649"/>
  <c r="A650"/>
  <c r="A651"/>
  <c r="A652"/>
  <c r="A653"/>
  <c r="A654"/>
  <c r="A655"/>
  <c r="A656"/>
  <c r="A657"/>
  <c r="A658"/>
  <c r="A659"/>
  <c r="A660"/>
  <c r="A661"/>
  <c r="A662"/>
  <c r="A663"/>
  <c r="A664"/>
  <c r="A665"/>
  <c r="A666"/>
  <c r="A667"/>
  <c r="A668"/>
  <c r="A669"/>
  <c r="A670"/>
  <c r="A671"/>
  <c r="A672"/>
  <c r="A673"/>
  <c r="A674"/>
  <c r="A675"/>
  <c r="A676"/>
  <c r="A677"/>
  <c r="A678"/>
  <c r="A679"/>
  <c r="A680"/>
  <c r="A681"/>
  <c r="A682"/>
  <c r="A683"/>
  <c r="A684"/>
  <c r="A685"/>
  <c r="A686"/>
  <c r="A687"/>
  <c r="A688"/>
  <c r="A689"/>
  <c r="A690"/>
  <c r="A691"/>
  <c r="A692"/>
  <c r="A693"/>
  <c r="A694"/>
  <c r="A695"/>
  <c r="A696"/>
  <c r="A697"/>
  <c r="A698"/>
  <c r="A699"/>
  <c r="A700"/>
  <c r="A701"/>
  <c r="A702"/>
  <c r="A703"/>
  <c r="A704"/>
  <c r="A705"/>
  <c r="A706"/>
  <c r="A707"/>
  <c r="A708"/>
  <c r="A709"/>
  <c r="A710"/>
  <c r="A711"/>
  <c r="A712"/>
  <c r="A713"/>
  <c r="A714"/>
  <c r="A715"/>
  <c r="A716"/>
  <c r="A717"/>
  <c r="A718"/>
  <c r="A719"/>
  <c r="A720"/>
  <c r="A721"/>
  <c r="A722"/>
  <c r="A723"/>
  <c r="A724"/>
  <c r="A725"/>
  <c r="A726"/>
  <c r="A727"/>
  <c r="A728"/>
  <c r="A729"/>
  <c r="A730"/>
  <c r="A731"/>
  <c r="A732"/>
  <c r="A733"/>
  <c r="A734"/>
  <c r="A735"/>
  <c r="A736"/>
  <c r="A737"/>
  <c r="A738"/>
  <c r="A739"/>
  <c r="A740"/>
  <c r="A741"/>
  <c r="A742"/>
  <c r="A743"/>
  <c r="A744"/>
  <c r="A745"/>
  <c r="A746"/>
  <c r="A747"/>
  <c r="A748"/>
  <c r="A749"/>
  <c r="A750"/>
  <c r="A751"/>
  <c r="A752"/>
  <c r="A753"/>
  <c r="A754"/>
  <c r="A755"/>
  <c r="A756"/>
  <c r="A757"/>
  <c r="A758"/>
  <c r="A759"/>
  <c r="A760"/>
  <c r="A761"/>
  <c r="A762"/>
  <c r="A763"/>
  <c r="A764"/>
  <c r="A765"/>
  <c r="A766"/>
  <c r="A767"/>
  <c r="A768"/>
  <c r="A769"/>
  <c r="A770"/>
  <c r="A771"/>
  <c r="A772"/>
  <c r="A773"/>
  <c r="A774"/>
  <c r="A775"/>
  <c r="A776"/>
  <c r="A777"/>
  <c r="A778"/>
  <c r="A779"/>
  <c r="A780"/>
  <c r="A781"/>
  <c r="A782"/>
  <c r="A783"/>
  <c r="A784"/>
  <c r="A785"/>
  <c r="A786"/>
  <c r="A2"/>
  <c r="E29" i="1"/>
  <c r="F29" s="1"/>
  <c r="A3" i="2" l="1"/>
  <c r="A4" s="1"/>
  <c r="A5" l="1"/>
  <c r="A6" s="1"/>
  <c r="H2" i="3"/>
  <c r="A7" i="2" l="1"/>
  <c r="A8" s="1"/>
  <c r="A9" l="1"/>
  <c r="A10" s="1"/>
  <c r="A11" l="1"/>
  <c r="A12" s="1"/>
  <c r="A13" l="1"/>
  <c r="A14" s="1"/>
  <c r="A15" s="1"/>
  <c r="A16" s="1"/>
  <c r="A17" l="1"/>
  <c r="A18" s="1"/>
  <c r="A19" s="1"/>
  <c r="A20" s="1"/>
  <c r="A21" s="1"/>
  <c r="A22" s="1"/>
  <c r="A23" s="1"/>
  <c r="A24" s="1"/>
  <c r="A25" s="1"/>
  <c r="F24" i="1"/>
  <c r="F14"/>
  <c r="F15"/>
  <c r="E16"/>
  <c r="F16" s="1"/>
  <c r="E17"/>
  <c r="F17" s="1"/>
  <c r="E18"/>
  <c r="F18" s="1"/>
  <c r="F19"/>
  <c r="E20"/>
  <c r="F20" s="1"/>
  <c r="F21"/>
  <c r="F22"/>
  <c r="F23"/>
  <c r="F26"/>
  <c r="E27"/>
  <c r="F27" s="1"/>
  <c r="E28"/>
  <c r="F28" s="1"/>
  <c r="F31" l="1"/>
  <c r="G8"/>
  <c r="F33" l="1"/>
  <c r="F32"/>
  <c r="F34"/>
  <c r="G87" i="2"/>
  <c r="G3"/>
  <c r="G2"/>
  <c r="G79"/>
  <c r="G20"/>
  <c r="G52"/>
  <c r="G40"/>
  <c r="G23"/>
  <c r="G85"/>
  <c r="G70"/>
  <c r="G86"/>
  <c r="G74"/>
  <c r="G64"/>
  <c r="G31"/>
  <c r="G32"/>
  <c r="G71"/>
  <c r="G33"/>
  <c r="G83"/>
  <c r="G84"/>
  <c r="G77"/>
  <c r="G82"/>
  <c r="G90"/>
  <c r="G39"/>
  <c r="G78"/>
  <c r="G49"/>
  <c r="G68"/>
  <c r="G36"/>
  <c r="G5"/>
  <c r="G4"/>
  <c r="G6"/>
  <c r="G8"/>
  <c r="G9"/>
  <c r="G10"/>
  <c r="G11"/>
  <c r="G7"/>
  <c r="G12"/>
  <c r="G14"/>
  <c r="G25"/>
  <c r="G15"/>
  <c r="G60"/>
  <c r="G27"/>
  <c r="G62"/>
  <c r="G18"/>
  <c r="G56"/>
  <c r="G73"/>
  <c r="G41"/>
  <c r="G45"/>
  <c r="G76"/>
  <c r="G59"/>
  <c r="G72"/>
  <c r="G22"/>
  <c r="G34"/>
  <c r="G53"/>
  <c r="G80"/>
  <c r="G19"/>
  <c r="G21"/>
  <c r="G47"/>
  <c r="G17"/>
  <c r="G46"/>
  <c r="G28"/>
  <c r="G75"/>
  <c r="G48"/>
  <c r="G42"/>
  <c r="G65"/>
  <c r="G16"/>
  <c r="G61"/>
  <c r="G54"/>
  <c r="G58"/>
  <c r="G13"/>
  <c r="G69"/>
  <c r="G57"/>
  <c r="G67"/>
  <c r="G29"/>
  <c r="G51"/>
  <c r="G35"/>
  <c r="G38"/>
  <c r="G88"/>
  <c r="G44"/>
  <c r="G26"/>
  <c r="G89"/>
  <c r="G66"/>
  <c r="G24"/>
  <c r="G55"/>
  <c r="G63"/>
  <c r="G37"/>
  <c r="G81"/>
  <c r="G50"/>
  <c r="G30"/>
  <c r="G43"/>
  <c r="H2" l="1"/>
  <c r="F35" i="1" l="1"/>
  <c r="F36"/>
  <c r="A35"/>
</calcChain>
</file>

<file path=xl/comments1.xml><?xml version="1.0" encoding="utf-8"?>
<comments xmlns="http://schemas.openxmlformats.org/spreadsheetml/2006/main">
  <authors>
    <author>Selva</author>
  </authors>
  <commentList>
    <comment ref="E8" authorId="0">
      <text>
        <r>
          <rPr>
            <b/>
            <sz val="9"/>
            <color indexed="81"/>
            <rFont val="Tahoma"/>
            <family val="2"/>
          </rPr>
          <t xml:space="preserve">NOTE:  If you change the invoice number .
The next invoice number will automatically
change to the next number after exporting. </t>
        </r>
      </text>
    </comment>
    <comment ref="E34" authorId="0">
      <text>
        <r>
          <rPr>
            <b/>
            <sz val="9"/>
            <color indexed="81"/>
            <rFont val="Tahoma"/>
            <family val="2"/>
          </rPr>
          <t>ENTER THE IGST NUMBER MANUALLY</t>
        </r>
      </text>
    </comment>
  </commentList>
</comments>
</file>

<file path=xl/comments2.xml><?xml version="1.0" encoding="utf-8"?>
<comments xmlns="http://schemas.openxmlformats.org/spreadsheetml/2006/main">
  <authors>
    <author>Selva</author>
  </authors>
  <commentList>
    <comment ref="A2" authorId="0">
      <text>
        <r>
          <rPr>
            <b/>
            <sz val="9"/>
            <color indexed="81"/>
            <rFont val="Tahoma"/>
            <family val="2"/>
          </rPr>
          <t>NOTE: 
DO NOT MAKE ANY CHANGES TO THIS COLUMN</t>
        </r>
      </text>
    </comment>
    <comment ref="F2" authorId="0">
      <text>
        <r>
          <rPr>
            <b/>
            <sz val="9"/>
            <color indexed="81"/>
            <rFont val="Tahoma"/>
            <family val="2"/>
          </rPr>
          <t>NOTE: 
DO NOT MAKE ANY CHANGES TO THIS COLUMN</t>
        </r>
      </text>
    </comment>
    <comment ref="G2" authorId="0">
      <text>
        <r>
          <rPr>
            <b/>
            <sz val="9"/>
            <color indexed="81"/>
            <rFont val="Tahoma"/>
            <family val="2"/>
          </rPr>
          <t>NOTE: 
DO NOT MAKE ANY CHANGES TO THIS COLUMN</t>
        </r>
      </text>
    </comment>
    <comment ref="H2" authorId="0">
      <text>
        <r>
          <rPr>
            <b/>
            <sz val="9"/>
            <color indexed="81"/>
            <rFont val="Tahoma"/>
            <family val="2"/>
          </rPr>
          <t>NOTE: 
DO NOT MAKE ANY CHANGES TO THIS COLUMN</t>
        </r>
      </text>
    </comment>
    <comment ref="A3" authorId="0">
      <text>
        <r>
          <rPr>
            <b/>
            <sz val="9"/>
            <color indexed="81"/>
            <rFont val="Tahoma"/>
            <family val="2"/>
          </rPr>
          <t>NOTE: 
DO NOT MAKE ANY CHANGES TO THIS COLUMN</t>
        </r>
      </text>
    </comment>
    <comment ref="F3" authorId="0">
      <text>
        <r>
          <rPr>
            <b/>
            <sz val="9"/>
            <color indexed="81"/>
            <rFont val="Tahoma"/>
            <family val="2"/>
          </rPr>
          <t>NOTE: 
DO NOT MAKE ANY CHANGES TO THIS COLUMN</t>
        </r>
      </text>
    </comment>
    <comment ref="G3" authorId="0">
      <text>
        <r>
          <rPr>
            <b/>
            <sz val="9"/>
            <color indexed="81"/>
            <rFont val="Tahoma"/>
            <family val="2"/>
          </rPr>
          <t>NOTE: 
DO NOT MAKE ANY CHANGES TO THIS COLUMN</t>
        </r>
      </text>
    </comment>
    <comment ref="H3" authorId="0">
      <text>
        <r>
          <rPr>
            <b/>
            <sz val="9"/>
            <color indexed="81"/>
            <rFont val="Tahoma"/>
            <family val="2"/>
          </rPr>
          <t>NOTE: 
DO NOT MAKE ANY CHANGES TO THIS COLUMN</t>
        </r>
      </text>
    </comment>
    <comment ref="A4" authorId="0">
      <text>
        <r>
          <rPr>
            <b/>
            <sz val="9"/>
            <color indexed="81"/>
            <rFont val="Tahoma"/>
            <family val="2"/>
          </rPr>
          <t>NOTE: 
DO NOT MAKE ANY CHANGES TO THIS COLUMN</t>
        </r>
      </text>
    </comment>
    <comment ref="F4" authorId="0">
      <text>
        <r>
          <rPr>
            <b/>
            <sz val="9"/>
            <color indexed="81"/>
            <rFont val="Tahoma"/>
            <family val="2"/>
          </rPr>
          <t>NOTE: 
DO NOT MAKE ANY CHANGES TO THIS COLUMN</t>
        </r>
      </text>
    </comment>
    <comment ref="G4" authorId="0">
      <text>
        <r>
          <rPr>
            <b/>
            <sz val="9"/>
            <color indexed="81"/>
            <rFont val="Tahoma"/>
            <family val="2"/>
          </rPr>
          <t>NOTE: 
DO NOT MAKE ANY CHANGES TO THIS COLUMN</t>
        </r>
      </text>
    </comment>
    <comment ref="H4" authorId="0">
      <text>
        <r>
          <rPr>
            <b/>
            <sz val="9"/>
            <color indexed="81"/>
            <rFont val="Tahoma"/>
            <family val="2"/>
          </rPr>
          <t>NOTE: 
DO NOT MAKE ANY CHANGES TO THIS COLUMN</t>
        </r>
      </text>
    </comment>
    <comment ref="A5" authorId="0">
      <text>
        <r>
          <rPr>
            <b/>
            <sz val="9"/>
            <color indexed="81"/>
            <rFont val="Tahoma"/>
            <family val="2"/>
          </rPr>
          <t>NOTE: 
DO NOT MAKE ANY CHANGES TO THIS COLUMN</t>
        </r>
      </text>
    </comment>
    <comment ref="F5" authorId="0">
      <text>
        <r>
          <rPr>
            <b/>
            <sz val="9"/>
            <color indexed="81"/>
            <rFont val="Tahoma"/>
            <family val="2"/>
          </rPr>
          <t>NOTE: 
DO NOT MAKE ANY CHANGES TO THIS COLUMN</t>
        </r>
      </text>
    </comment>
    <comment ref="G5" authorId="0">
      <text>
        <r>
          <rPr>
            <b/>
            <sz val="9"/>
            <color indexed="81"/>
            <rFont val="Tahoma"/>
            <family val="2"/>
          </rPr>
          <t>NOTE: 
DO NOT MAKE ANY CHANGES TO THIS COLUMN</t>
        </r>
      </text>
    </comment>
    <comment ref="H5" authorId="0">
      <text>
        <r>
          <rPr>
            <b/>
            <sz val="9"/>
            <color indexed="81"/>
            <rFont val="Tahoma"/>
            <family val="2"/>
          </rPr>
          <t>NOTE: 
DO NOT MAKE ANY CHANGES TO THIS COLUMN</t>
        </r>
      </text>
    </comment>
    <comment ref="A6" authorId="0">
      <text>
        <r>
          <rPr>
            <b/>
            <sz val="9"/>
            <color indexed="81"/>
            <rFont val="Tahoma"/>
            <family val="2"/>
          </rPr>
          <t>NOTE: 
DO NOT MAKE ANY CHANGES TO THIS COLUMN</t>
        </r>
      </text>
    </comment>
    <comment ref="F6" authorId="0">
      <text>
        <r>
          <rPr>
            <b/>
            <sz val="9"/>
            <color indexed="81"/>
            <rFont val="Tahoma"/>
            <family val="2"/>
          </rPr>
          <t>NOTE: 
DO NOT MAKE ANY CHANGES TO THIS COLUMN</t>
        </r>
      </text>
    </comment>
    <comment ref="G6" authorId="0">
      <text>
        <r>
          <rPr>
            <b/>
            <sz val="9"/>
            <color indexed="81"/>
            <rFont val="Tahoma"/>
            <family val="2"/>
          </rPr>
          <t>NOTE: 
DO NOT MAKE ANY CHANGES TO THIS COLUMN</t>
        </r>
      </text>
    </comment>
    <comment ref="H6" authorId="0">
      <text>
        <r>
          <rPr>
            <b/>
            <sz val="9"/>
            <color indexed="81"/>
            <rFont val="Tahoma"/>
            <family val="2"/>
          </rPr>
          <t>NOTE: 
DO NOT MAKE ANY CHANGES TO THIS COLUMN</t>
        </r>
      </text>
    </comment>
    <comment ref="A7" authorId="0">
      <text>
        <r>
          <rPr>
            <b/>
            <sz val="9"/>
            <color indexed="81"/>
            <rFont val="Tahoma"/>
            <family val="2"/>
          </rPr>
          <t>NOTE: 
DO NOT MAKE ANY CHANGES TO THIS COLUMN</t>
        </r>
      </text>
    </comment>
    <comment ref="F7" authorId="0">
      <text>
        <r>
          <rPr>
            <b/>
            <sz val="9"/>
            <color indexed="81"/>
            <rFont val="Tahoma"/>
            <family val="2"/>
          </rPr>
          <t>NOTE: 
DO NOT MAKE ANY CHANGES TO THIS COLUMN</t>
        </r>
      </text>
    </comment>
    <comment ref="G7" authorId="0">
      <text>
        <r>
          <rPr>
            <b/>
            <sz val="9"/>
            <color indexed="81"/>
            <rFont val="Tahoma"/>
            <family val="2"/>
          </rPr>
          <t>NOTE: 
DO NOT MAKE ANY CHANGES TO THIS COLUMN</t>
        </r>
      </text>
    </comment>
    <comment ref="H7" authorId="0">
      <text>
        <r>
          <rPr>
            <b/>
            <sz val="9"/>
            <color indexed="81"/>
            <rFont val="Tahoma"/>
            <family val="2"/>
          </rPr>
          <t>NOTE: 
DO NOT MAKE ANY CHANGES TO THIS COLUMN</t>
        </r>
      </text>
    </comment>
    <comment ref="A8" authorId="0">
      <text>
        <r>
          <rPr>
            <b/>
            <sz val="9"/>
            <color indexed="81"/>
            <rFont val="Tahoma"/>
            <family val="2"/>
          </rPr>
          <t>NOTE: 
DO NOT MAKE ANY CHANGES TO THIS COLUMN</t>
        </r>
      </text>
    </comment>
    <comment ref="F8" authorId="0">
      <text>
        <r>
          <rPr>
            <b/>
            <sz val="9"/>
            <color indexed="81"/>
            <rFont val="Tahoma"/>
            <family val="2"/>
          </rPr>
          <t>NOTE: 
DO NOT MAKE ANY CHANGES TO THIS COLUMN</t>
        </r>
      </text>
    </comment>
    <comment ref="G8" authorId="0">
      <text>
        <r>
          <rPr>
            <b/>
            <sz val="9"/>
            <color indexed="81"/>
            <rFont val="Tahoma"/>
            <family val="2"/>
          </rPr>
          <t>NOTE: 
DO NOT MAKE ANY CHANGES TO THIS COLUMN</t>
        </r>
      </text>
    </comment>
    <comment ref="H8" authorId="0">
      <text>
        <r>
          <rPr>
            <b/>
            <sz val="9"/>
            <color indexed="81"/>
            <rFont val="Tahoma"/>
            <family val="2"/>
          </rPr>
          <t>NOTE: 
DO NOT MAKE ANY CHANGES TO THIS COLUMN</t>
        </r>
      </text>
    </comment>
    <comment ref="A9" authorId="0">
      <text>
        <r>
          <rPr>
            <b/>
            <sz val="9"/>
            <color indexed="81"/>
            <rFont val="Tahoma"/>
            <family val="2"/>
          </rPr>
          <t>NOTE: 
DO NOT MAKE ANY CHANGES TO THIS COLUMN</t>
        </r>
      </text>
    </comment>
    <comment ref="F9" authorId="0">
      <text>
        <r>
          <rPr>
            <b/>
            <sz val="9"/>
            <color indexed="81"/>
            <rFont val="Tahoma"/>
            <family val="2"/>
          </rPr>
          <t>NOTE: 
DO NOT MAKE ANY CHANGES TO THIS COLUMN</t>
        </r>
      </text>
    </comment>
    <comment ref="G9" authorId="0">
      <text>
        <r>
          <rPr>
            <b/>
            <sz val="9"/>
            <color indexed="81"/>
            <rFont val="Tahoma"/>
            <family val="2"/>
          </rPr>
          <t>NOTE: 
DO NOT MAKE ANY CHANGES TO THIS COLUMN</t>
        </r>
      </text>
    </comment>
    <comment ref="H9" authorId="0">
      <text>
        <r>
          <rPr>
            <b/>
            <sz val="9"/>
            <color indexed="81"/>
            <rFont val="Tahoma"/>
            <family val="2"/>
          </rPr>
          <t>NOTE: 
DO NOT MAKE ANY CHANGES TO THIS COLUMN</t>
        </r>
      </text>
    </comment>
    <comment ref="A10" authorId="0">
      <text>
        <r>
          <rPr>
            <b/>
            <sz val="9"/>
            <color indexed="81"/>
            <rFont val="Tahoma"/>
            <family val="2"/>
          </rPr>
          <t>NOTE: 
DO NOT MAKE ANY CHANGES TO THIS COLUMN</t>
        </r>
      </text>
    </comment>
    <comment ref="F10" authorId="0">
      <text>
        <r>
          <rPr>
            <b/>
            <sz val="9"/>
            <color indexed="81"/>
            <rFont val="Tahoma"/>
            <family val="2"/>
          </rPr>
          <t>NOTE: 
DO NOT MAKE ANY CHANGES TO THIS COLUMN</t>
        </r>
      </text>
    </comment>
    <comment ref="G10" authorId="0">
      <text>
        <r>
          <rPr>
            <b/>
            <sz val="9"/>
            <color indexed="81"/>
            <rFont val="Tahoma"/>
            <family val="2"/>
          </rPr>
          <t>NOTE: 
DO NOT MAKE ANY CHANGES TO THIS COLUMN</t>
        </r>
      </text>
    </comment>
    <comment ref="H10" authorId="0">
      <text>
        <r>
          <rPr>
            <b/>
            <sz val="9"/>
            <color indexed="81"/>
            <rFont val="Tahoma"/>
            <family val="2"/>
          </rPr>
          <t>NOTE: 
DO NOT MAKE ANY CHANGES TO THIS COLUMN</t>
        </r>
      </text>
    </comment>
    <comment ref="A11" authorId="0">
      <text>
        <r>
          <rPr>
            <b/>
            <sz val="9"/>
            <color indexed="81"/>
            <rFont val="Tahoma"/>
            <family val="2"/>
          </rPr>
          <t>NOTE: 
DO NOT MAKE ANY CHANGES TO THIS COLUMN</t>
        </r>
      </text>
    </comment>
    <comment ref="F11" authorId="0">
      <text>
        <r>
          <rPr>
            <b/>
            <sz val="9"/>
            <color indexed="81"/>
            <rFont val="Tahoma"/>
            <family val="2"/>
          </rPr>
          <t>NOTE: 
DO NOT MAKE ANY CHANGES TO THIS COLUMN</t>
        </r>
      </text>
    </comment>
    <comment ref="G11" authorId="0">
      <text>
        <r>
          <rPr>
            <b/>
            <sz val="9"/>
            <color indexed="81"/>
            <rFont val="Tahoma"/>
            <family val="2"/>
          </rPr>
          <t>NOTE: 
DO NOT MAKE ANY CHANGES TO THIS COLUMN</t>
        </r>
      </text>
    </comment>
    <comment ref="H11" authorId="0">
      <text>
        <r>
          <rPr>
            <b/>
            <sz val="9"/>
            <color indexed="81"/>
            <rFont val="Tahoma"/>
            <family val="2"/>
          </rPr>
          <t>NOTE: 
DO NOT MAKE ANY CHANGES TO THIS COLUMN</t>
        </r>
      </text>
    </comment>
    <comment ref="A12" authorId="0">
      <text>
        <r>
          <rPr>
            <b/>
            <sz val="9"/>
            <color indexed="81"/>
            <rFont val="Tahoma"/>
            <family val="2"/>
          </rPr>
          <t>NOTE: 
DO NOT MAKE ANY CHANGES TO THIS COLUMN</t>
        </r>
      </text>
    </comment>
    <comment ref="F12" authorId="0">
      <text>
        <r>
          <rPr>
            <b/>
            <sz val="9"/>
            <color indexed="81"/>
            <rFont val="Tahoma"/>
            <family val="2"/>
          </rPr>
          <t>NOTE: 
DO NOT MAKE ANY CHANGES TO THIS COLUMN</t>
        </r>
      </text>
    </comment>
    <comment ref="G12" authorId="0">
      <text>
        <r>
          <rPr>
            <b/>
            <sz val="9"/>
            <color indexed="81"/>
            <rFont val="Tahoma"/>
            <family val="2"/>
          </rPr>
          <t>NOTE: 
DO NOT MAKE ANY CHANGES TO THIS COLUMN</t>
        </r>
      </text>
    </comment>
    <comment ref="H12" authorId="0">
      <text>
        <r>
          <rPr>
            <b/>
            <sz val="9"/>
            <color indexed="81"/>
            <rFont val="Tahoma"/>
            <family val="2"/>
          </rPr>
          <t>NOTE: 
DO NOT MAKE ANY CHANGES TO THIS COLUMN</t>
        </r>
      </text>
    </comment>
    <comment ref="A13" authorId="0">
      <text>
        <r>
          <rPr>
            <b/>
            <sz val="9"/>
            <color indexed="81"/>
            <rFont val="Tahoma"/>
            <family val="2"/>
          </rPr>
          <t>NOTE: 
DO NOT MAKE ANY CHANGES TO THIS COLUMN</t>
        </r>
      </text>
    </comment>
    <comment ref="F13" authorId="0">
      <text>
        <r>
          <rPr>
            <b/>
            <sz val="9"/>
            <color indexed="81"/>
            <rFont val="Tahoma"/>
            <family val="2"/>
          </rPr>
          <t>NOTE: 
DO NOT MAKE ANY CHANGES TO THIS COLUMN</t>
        </r>
      </text>
    </comment>
    <comment ref="G13" authorId="0">
      <text>
        <r>
          <rPr>
            <b/>
            <sz val="9"/>
            <color indexed="81"/>
            <rFont val="Tahoma"/>
            <family val="2"/>
          </rPr>
          <t>NOTE: 
DO NOT MAKE ANY CHANGES TO THIS COLUMN</t>
        </r>
      </text>
    </comment>
    <comment ref="H13" authorId="0">
      <text>
        <r>
          <rPr>
            <b/>
            <sz val="9"/>
            <color indexed="81"/>
            <rFont val="Tahoma"/>
            <family val="2"/>
          </rPr>
          <t>NOTE: 
DO NOT MAKE ANY CHANGES TO THIS COLUMN</t>
        </r>
      </text>
    </comment>
    <comment ref="A14" authorId="0">
      <text>
        <r>
          <rPr>
            <b/>
            <sz val="9"/>
            <color indexed="81"/>
            <rFont val="Tahoma"/>
            <family val="2"/>
          </rPr>
          <t>NOTE: 
DO NOT MAKE ANY CHANGES TO THIS COLUMN</t>
        </r>
      </text>
    </comment>
    <comment ref="F14" authorId="0">
      <text>
        <r>
          <rPr>
            <b/>
            <sz val="9"/>
            <color indexed="81"/>
            <rFont val="Tahoma"/>
            <family val="2"/>
          </rPr>
          <t>NOTE: 
DO NOT MAKE ANY CHANGES TO THIS COLUMN</t>
        </r>
      </text>
    </comment>
    <comment ref="G14" authorId="0">
      <text>
        <r>
          <rPr>
            <b/>
            <sz val="9"/>
            <color indexed="81"/>
            <rFont val="Tahoma"/>
            <family val="2"/>
          </rPr>
          <t>NOTE: 
DO NOT MAKE ANY CHANGES TO THIS COLUMN</t>
        </r>
      </text>
    </comment>
    <comment ref="H14" authorId="0">
      <text>
        <r>
          <rPr>
            <b/>
            <sz val="9"/>
            <color indexed="81"/>
            <rFont val="Tahoma"/>
            <family val="2"/>
          </rPr>
          <t>NOTE: 
DO NOT MAKE ANY CHANGES TO THIS COLUMN</t>
        </r>
      </text>
    </comment>
    <comment ref="A15" authorId="0">
      <text>
        <r>
          <rPr>
            <b/>
            <sz val="9"/>
            <color indexed="81"/>
            <rFont val="Tahoma"/>
            <family val="2"/>
          </rPr>
          <t>NOTE: 
DO NOT MAKE ANY CHANGES TO THIS COLUMN</t>
        </r>
      </text>
    </comment>
    <comment ref="F15" authorId="0">
      <text>
        <r>
          <rPr>
            <b/>
            <sz val="9"/>
            <color indexed="81"/>
            <rFont val="Tahoma"/>
            <family val="2"/>
          </rPr>
          <t>NOTE: 
DO NOT MAKE ANY CHANGES TO THIS COLUMN</t>
        </r>
      </text>
    </comment>
    <comment ref="G15" authorId="0">
      <text>
        <r>
          <rPr>
            <b/>
            <sz val="9"/>
            <color indexed="81"/>
            <rFont val="Tahoma"/>
            <family val="2"/>
          </rPr>
          <t>NOTE: 
DO NOT MAKE ANY CHANGES TO THIS COLUMN</t>
        </r>
      </text>
    </comment>
    <comment ref="H15" authorId="0">
      <text>
        <r>
          <rPr>
            <b/>
            <sz val="9"/>
            <color indexed="81"/>
            <rFont val="Tahoma"/>
            <family val="2"/>
          </rPr>
          <t>NOTE: 
DO NOT MAKE ANY CHANGES TO THIS COLUMN</t>
        </r>
      </text>
    </comment>
    <comment ref="A16" authorId="0">
      <text>
        <r>
          <rPr>
            <b/>
            <sz val="9"/>
            <color indexed="81"/>
            <rFont val="Tahoma"/>
            <family val="2"/>
          </rPr>
          <t>NOTE: 
DO NOT MAKE ANY CHANGES TO THIS COLUMN</t>
        </r>
      </text>
    </comment>
    <comment ref="F16" authorId="0">
      <text>
        <r>
          <rPr>
            <b/>
            <sz val="9"/>
            <color indexed="81"/>
            <rFont val="Tahoma"/>
            <family val="2"/>
          </rPr>
          <t>NOTE: 
DO NOT MAKE ANY CHANGES TO THIS COLUMN</t>
        </r>
      </text>
    </comment>
    <comment ref="G16" authorId="0">
      <text>
        <r>
          <rPr>
            <b/>
            <sz val="9"/>
            <color indexed="81"/>
            <rFont val="Tahoma"/>
            <family val="2"/>
          </rPr>
          <t>NOTE: 
DO NOT MAKE ANY CHANGES TO THIS COLUMN</t>
        </r>
      </text>
    </comment>
    <comment ref="H16" authorId="0">
      <text>
        <r>
          <rPr>
            <b/>
            <sz val="9"/>
            <color indexed="81"/>
            <rFont val="Tahoma"/>
            <family val="2"/>
          </rPr>
          <t>NOTE: 
DO NOT MAKE ANY CHANGES TO THIS COLUMN</t>
        </r>
      </text>
    </comment>
    <comment ref="A17" authorId="0">
      <text>
        <r>
          <rPr>
            <b/>
            <sz val="9"/>
            <color indexed="81"/>
            <rFont val="Tahoma"/>
            <family val="2"/>
          </rPr>
          <t>NOTE: 
DO NOT MAKE ANY CHANGES TO THIS COLUMN</t>
        </r>
      </text>
    </comment>
    <comment ref="F17" authorId="0">
      <text>
        <r>
          <rPr>
            <b/>
            <sz val="9"/>
            <color indexed="81"/>
            <rFont val="Tahoma"/>
            <family val="2"/>
          </rPr>
          <t>NOTE: 
DO NOT MAKE ANY CHANGES TO THIS COLUMN</t>
        </r>
      </text>
    </comment>
    <comment ref="G17" authorId="0">
      <text>
        <r>
          <rPr>
            <b/>
            <sz val="9"/>
            <color indexed="81"/>
            <rFont val="Tahoma"/>
            <family val="2"/>
          </rPr>
          <t>NOTE: 
DO NOT MAKE ANY CHANGES TO THIS COLUMN</t>
        </r>
      </text>
    </comment>
    <comment ref="H17" authorId="0">
      <text>
        <r>
          <rPr>
            <b/>
            <sz val="9"/>
            <color indexed="81"/>
            <rFont val="Tahoma"/>
            <family val="2"/>
          </rPr>
          <t>NOTE: 
DO NOT MAKE ANY CHANGES TO THIS COLUMN</t>
        </r>
      </text>
    </comment>
    <comment ref="A18" authorId="0">
      <text>
        <r>
          <rPr>
            <b/>
            <sz val="9"/>
            <color indexed="81"/>
            <rFont val="Tahoma"/>
            <family val="2"/>
          </rPr>
          <t>NOTE: 
DO NOT MAKE ANY CHANGES TO THIS COLUMN</t>
        </r>
      </text>
    </comment>
    <comment ref="F18" authorId="0">
      <text>
        <r>
          <rPr>
            <b/>
            <sz val="9"/>
            <color indexed="81"/>
            <rFont val="Tahoma"/>
            <family val="2"/>
          </rPr>
          <t>NOTE: 
DO NOT MAKE ANY CHANGES TO THIS COLUMN</t>
        </r>
      </text>
    </comment>
    <comment ref="G18" authorId="0">
      <text>
        <r>
          <rPr>
            <b/>
            <sz val="9"/>
            <color indexed="81"/>
            <rFont val="Tahoma"/>
            <family val="2"/>
          </rPr>
          <t>NOTE: 
DO NOT MAKE ANY CHANGES TO THIS COLUMN</t>
        </r>
      </text>
    </comment>
    <comment ref="H18" authorId="0">
      <text>
        <r>
          <rPr>
            <b/>
            <sz val="9"/>
            <color indexed="81"/>
            <rFont val="Tahoma"/>
            <family val="2"/>
          </rPr>
          <t>NOTE: 
DO NOT MAKE ANY CHANGES TO THIS COLUMN</t>
        </r>
      </text>
    </comment>
    <comment ref="A19" authorId="0">
      <text>
        <r>
          <rPr>
            <b/>
            <sz val="9"/>
            <color indexed="81"/>
            <rFont val="Tahoma"/>
            <family val="2"/>
          </rPr>
          <t>NOTE: 
DO NOT MAKE ANY CHANGES TO THIS COLUMN</t>
        </r>
      </text>
    </comment>
    <comment ref="F19" authorId="0">
      <text>
        <r>
          <rPr>
            <b/>
            <sz val="9"/>
            <color indexed="81"/>
            <rFont val="Tahoma"/>
            <family val="2"/>
          </rPr>
          <t>NOTE: 
DO NOT MAKE ANY CHANGES TO THIS COLUMN</t>
        </r>
      </text>
    </comment>
    <comment ref="G19" authorId="0">
      <text>
        <r>
          <rPr>
            <b/>
            <sz val="9"/>
            <color indexed="81"/>
            <rFont val="Tahoma"/>
            <family val="2"/>
          </rPr>
          <t>NOTE: 
DO NOT MAKE ANY CHANGES TO THIS COLUMN</t>
        </r>
      </text>
    </comment>
    <comment ref="H19" authorId="0">
      <text>
        <r>
          <rPr>
            <b/>
            <sz val="9"/>
            <color indexed="81"/>
            <rFont val="Tahoma"/>
            <family val="2"/>
          </rPr>
          <t>NOTE: 
DO NOT MAKE ANY CHANGES TO THIS COLUMN</t>
        </r>
      </text>
    </comment>
    <comment ref="A20" authorId="0">
      <text>
        <r>
          <rPr>
            <b/>
            <sz val="9"/>
            <color indexed="81"/>
            <rFont val="Tahoma"/>
            <family val="2"/>
          </rPr>
          <t>NOTE: 
DO NOT MAKE ANY CHANGES TO THIS COLUMN</t>
        </r>
      </text>
    </comment>
    <comment ref="F20" authorId="0">
      <text>
        <r>
          <rPr>
            <b/>
            <sz val="9"/>
            <color indexed="81"/>
            <rFont val="Tahoma"/>
            <family val="2"/>
          </rPr>
          <t>NOTE: 
DO NOT MAKE ANY CHANGES TO THIS COLUMN</t>
        </r>
      </text>
    </comment>
    <comment ref="G20" authorId="0">
      <text>
        <r>
          <rPr>
            <b/>
            <sz val="9"/>
            <color indexed="81"/>
            <rFont val="Tahoma"/>
            <family val="2"/>
          </rPr>
          <t>NOTE: 
DO NOT MAKE ANY CHANGES TO THIS COLUMN</t>
        </r>
      </text>
    </comment>
    <comment ref="H20" authorId="0">
      <text>
        <r>
          <rPr>
            <b/>
            <sz val="9"/>
            <color indexed="81"/>
            <rFont val="Tahoma"/>
            <family val="2"/>
          </rPr>
          <t>NOTE: 
DO NOT MAKE ANY CHANGES TO THIS COLUMN</t>
        </r>
      </text>
    </comment>
    <comment ref="A21" authorId="0">
      <text>
        <r>
          <rPr>
            <b/>
            <sz val="9"/>
            <color indexed="81"/>
            <rFont val="Tahoma"/>
            <family val="2"/>
          </rPr>
          <t>NOTE: 
DO NOT MAKE ANY CHANGES TO THIS COLUMN</t>
        </r>
      </text>
    </comment>
    <comment ref="F21" authorId="0">
      <text>
        <r>
          <rPr>
            <b/>
            <sz val="9"/>
            <color indexed="81"/>
            <rFont val="Tahoma"/>
            <family val="2"/>
          </rPr>
          <t>NOTE: 
DO NOT MAKE ANY CHANGES TO THIS COLUMN</t>
        </r>
      </text>
    </comment>
    <comment ref="G21" authorId="0">
      <text>
        <r>
          <rPr>
            <b/>
            <sz val="9"/>
            <color indexed="81"/>
            <rFont val="Tahoma"/>
            <family val="2"/>
          </rPr>
          <t>NOTE: 
DO NOT MAKE ANY CHANGES TO THIS COLUMN</t>
        </r>
      </text>
    </comment>
    <comment ref="H21" authorId="0">
      <text>
        <r>
          <rPr>
            <b/>
            <sz val="9"/>
            <color indexed="81"/>
            <rFont val="Tahoma"/>
            <family val="2"/>
          </rPr>
          <t>NOTE: 
DO NOT MAKE ANY CHANGES TO THIS COLUMN</t>
        </r>
      </text>
    </comment>
    <comment ref="A22" authorId="0">
      <text>
        <r>
          <rPr>
            <b/>
            <sz val="9"/>
            <color indexed="81"/>
            <rFont val="Tahoma"/>
            <family val="2"/>
          </rPr>
          <t>NOTE: 
DO NOT MAKE ANY CHANGES TO THIS COLUMN</t>
        </r>
      </text>
    </comment>
    <comment ref="F22" authorId="0">
      <text>
        <r>
          <rPr>
            <b/>
            <sz val="9"/>
            <color indexed="81"/>
            <rFont val="Tahoma"/>
            <family val="2"/>
          </rPr>
          <t>NOTE: 
DO NOT MAKE ANY CHANGES TO THIS COLUMN</t>
        </r>
      </text>
    </comment>
    <comment ref="G22" authorId="0">
      <text>
        <r>
          <rPr>
            <b/>
            <sz val="9"/>
            <color indexed="81"/>
            <rFont val="Tahoma"/>
            <family val="2"/>
          </rPr>
          <t>NOTE: 
DO NOT MAKE ANY CHANGES TO THIS COLUMN</t>
        </r>
      </text>
    </comment>
    <comment ref="H22" authorId="0">
      <text>
        <r>
          <rPr>
            <b/>
            <sz val="9"/>
            <color indexed="81"/>
            <rFont val="Tahoma"/>
            <family val="2"/>
          </rPr>
          <t>NOTE: 
DO NOT MAKE ANY CHANGES TO THIS COLUMN</t>
        </r>
      </text>
    </comment>
    <comment ref="A23" authorId="0">
      <text>
        <r>
          <rPr>
            <b/>
            <sz val="9"/>
            <color indexed="81"/>
            <rFont val="Tahoma"/>
            <family val="2"/>
          </rPr>
          <t>NOTE: 
DO NOT MAKE ANY CHANGES TO THIS COLUMN</t>
        </r>
      </text>
    </comment>
    <comment ref="F23" authorId="0">
      <text>
        <r>
          <rPr>
            <b/>
            <sz val="9"/>
            <color indexed="81"/>
            <rFont val="Tahoma"/>
            <family val="2"/>
          </rPr>
          <t>NOTE: 
DO NOT MAKE ANY CHANGES TO THIS COLUMN</t>
        </r>
      </text>
    </comment>
    <comment ref="G23" authorId="0">
      <text>
        <r>
          <rPr>
            <b/>
            <sz val="9"/>
            <color indexed="81"/>
            <rFont val="Tahoma"/>
            <family val="2"/>
          </rPr>
          <t>NOTE: 
DO NOT MAKE ANY CHANGES TO THIS COLUMN</t>
        </r>
      </text>
    </comment>
    <comment ref="H23" authorId="0">
      <text>
        <r>
          <rPr>
            <b/>
            <sz val="9"/>
            <color indexed="81"/>
            <rFont val="Tahoma"/>
            <family val="2"/>
          </rPr>
          <t>NOTE: 
DO NOT MAKE ANY CHANGES TO THIS COLUMN</t>
        </r>
      </text>
    </comment>
    <comment ref="A24" authorId="0">
      <text>
        <r>
          <rPr>
            <b/>
            <sz val="9"/>
            <color indexed="81"/>
            <rFont val="Tahoma"/>
            <family val="2"/>
          </rPr>
          <t>NOTE: 
DO NOT MAKE ANY CHANGES TO THIS COLUMN</t>
        </r>
      </text>
    </comment>
    <comment ref="F24" authorId="0">
      <text>
        <r>
          <rPr>
            <b/>
            <sz val="9"/>
            <color indexed="81"/>
            <rFont val="Tahoma"/>
            <family val="2"/>
          </rPr>
          <t>NOTE: 
DO NOT MAKE ANY CHANGES TO THIS COLUMN</t>
        </r>
      </text>
    </comment>
    <comment ref="G24" authorId="0">
      <text>
        <r>
          <rPr>
            <b/>
            <sz val="9"/>
            <color indexed="81"/>
            <rFont val="Tahoma"/>
            <family val="2"/>
          </rPr>
          <t>NOTE: 
DO NOT MAKE ANY CHANGES TO THIS COLUMN</t>
        </r>
      </text>
    </comment>
    <comment ref="H24" authorId="0">
      <text>
        <r>
          <rPr>
            <b/>
            <sz val="9"/>
            <color indexed="81"/>
            <rFont val="Tahoma"/>
            <family val="2"/>
          </rPr>
          <t>NOTE: 
DO NOT MAKE ANY CHANGES TO THIS COLUMN</t>
        </r>
      </text>
    </comment>
    <comment ref="A25" authorId="0">
      <text>
        <r>
          <rPr>
            <b/>
            <sz val="9"/>
            <color indexed="81"/>
            <rFont val="Tahoma"/>
            <family val="2"/>
          </rPr>
          <t>NOTE: 
DO NOT MAKE ANY CHANGES TO THIS COLUMN</t>
        </r>
      </text>
    </comment>
    <comment ref="F25" authorId="0">
      <text>
        <r>
          <rPr>
            <b/>
            <sz val="9"/>
            <color indexed="81"/>
            <rFont val="Tahoma"/>
            <family val="2"/>
          </rPr>
          <t>NOTE: 
DO NOT MAKE ANY CHANGES TO THIS COLUMN</t>
        </r>
      </text>
    </comment>
    <comment ref="G25" authorId="0">
      <text>
        <r>
          <rPr>
            <b/>
            <sz val="9"/>
            <color indexed="81"/>
            <rFont val="Tahoma"/>
            <family val="2"/>
          </rPr>
          <t>NOTE: 
DO NOT MAKE ANY CHANGES TO THIS COLUMN</t>
        </r>
      </text>
    </comment>
    <comment ref="H25" authorId="0">
      <text>
        <r>
          <rPr>
            <b/>
            <sz val="9"/>
            <color indexed="81"/>
            <rFont val="Tahoma"/>
            <family val="2"/>
          </rPr>
          <t>NOTE: 
DO NOT MAKE ANY CHANGES TO THIS COLUMN</t>
        </r>
      </text>
    </comment>
    <comment ref="A26" authorId="0">
      <text>
        <r>
          <rPr>
            <b/>
            <sz val="9"/>
            <color indexed="81"/>
            <rFont val="Tahoma"/>
            <family val="2"/>
          </rPr>
          <t>NOTE: 
DO NOT MAKE ANY CHANGES TO THIS COLUMN</t>
        </r>
      </text>
    </comment>
    <comment ref="F26" authorId="0">
      <text>
        <r>
          <rPr>
            <b/>
            <sz val="9"/>
            <color indexed="81"/>
            <rFont val="Tahoma"/>
            <family val="2"/>
          </rPr>
          <t>NOTE: 
DO NOT MAKE ANY CHANGES TO THIS COLUMN</t>
        </r>
      </text>
    </comment>
    <comment ref="G26" authorId="0">
      <text>
        <r>
          <rPr>
            <b/>
            <sz val="9"/>
            <color indexed="81"/>
            <rFont val="Tahoma"/>
            <family val="2"/>
          </rPr>
          <t>NOTE: 
DO NOT MAKE ANY CHANGES TO THIS COLUMN</t>
        </r>
      </text>
    </comment>
    <comment ref="H26" authorId="0">
      <text>
        <r>
          <rPr>
            <b/>
            <sz val="9"/>
            <color indexed="81"/>
            <rFont val="Tahoma"/>
            <family val="2"/>
          </rPr>
          <t>NOTE: 
DO NOT MAKE ANY CHANGES TO THIS COLUMN</t>
        </r>
      </text>
    </comment>
    <comment ref="A27" authorId="0">
      <text>
        <r>
          <rPr>
            <b/>
            <sz val="9"/>
            <color indexed="81"/>
            <rFont val="Tahoma"/>
            <family val="2"/>
          </rPr>
          <t>NOTE: 
DO NOT MAKE ANY CHANGES TO THIS COLUMN</t>
        </r>
      </text>
    </comment>
    <comment ref="F27" authorId="0">
      <text>
        <r>
          <rPr>
            <b/>
            <sz val="9"/>
            <color indexed="81"/>
            <rFont val="Tahoma"/>
            <family val="2"/>
          </rPr>
          <t>NOTE: 
DO NOT MAKE ANY CHANGES TO THIS COLUMN</t>
        </r>
      </text>
    </comment>
    <comment ref="G27" authorId="0">
      <text>
        <r>
          <rPr>
            <b/>
            <sz val="9"/>
            <color indexed="81"/>
            <rFont val="Tahoma"/>
            <family val="2"/>
          </rPr>
          <t>NOTE: 
DO NOT MAKE ANY CHANGES TO THIS COLUMN</t>
        </r>
      </text>
    </comment>
    <comment ref="H27" authorId="0">
      <text>
        <r>
          <rPr>
            <b/>
            <sz val="9"/>
            <color indexed="81"/>
            <rFont val="Tahoma"/>
            <family val="2"/>
          </rPr>
          <t>NOTE: 
DO NOT MAKE ANY CHANGES TO THIS COLUMN</t>
        </r>
      </text>
    </comment>
    <comment ref="A28" authorId="0">
      <text>
        <r>
          <rPr>
            <b/>
            <sz val="9"/>
            <color indexed="81"/>
            <rFont val="Tahoma"/>
            <family val="2"/>
          </rPr>
          <t>NOTE: 
DO NOT MAKE ANY CHANGES TO THIS COLUMN</t>
        </r>
      </text>
    </comment>
    <comment ref="F28" authorId="0">
      <text>
        <r>
          <rPr>
            <b/>
            <sz val="9"/>
            <color indexed="81"/>
            <rFont val="Tahoma"/>
            <family val="2"/>
          </rPr>
          <t>NOTE: 
DO NOT MAKE ANY CHANGES TO THIS COLUMN</t>
        </r>
      </text>
    </comment>
    <comment ref="G28" authorId="0">
      <text>
        <r>
          <rPr>
            <b/>
            <sz val="9"/>
            <color indexed="81"/>
            <rFont val="Tahoma"/>
            <family val="2"/>
          </rPr>
          <t>NOTE: 
DO NOT MAKE ANY CHANGES TO THIS COLUMN</t>
        </r>
      </text>
    </comment>
    <comment ref="H28" authorId="0">
      <text>
        <r>
          <rPr>
            <b/>
            <sz val="9"/>
            <color indexed="81"/>
            <rFont val="Tahoma"/>
            <family val="2"/>
          </rPr>
          <t>NOTE: 
DO NOT MAKE ANY CHANGES TO THIS COLUMN</t>
        </r>
      </text>
    </comment>
    <comment ref="A29" authorId="0">
      <text>
        <r>
          <rPr>
            <b/>
            <sz val="9"/>
            <color indexed="81"/>
            <rFont val="Tahoma"/>
            <family val="2"/>
          </rPr>
          <t>NOTE: 
DO NOT MAKE ANY CHANGES TO THIS COLUMN</t>
        </r>
      </text>
    </comment>
    <comment ref="F29" authorId="0">
      <text>
        <r>
          <rPr>
            <b/>
            <sz val="9"/>
            <color indexed="81"/>
            <rFont val="Tahoma"/>
            <family val="2"/>
          </rPr>
          <t>NOTE: 
DO NOT MAKE ANY CHANGES TO THIS COLUMN</t>
        </r>
      </text>
    </comment>
    <comment ref="G29" authorId="0">
      <text>
        <r>
          <rPr>
            <b/>
            <sz val="9"/>
            <color indexed="81"/>
            <rFont val="Tahoma"/>
            <family val="2"/>
          </rPr>
          <t>NOTE: 
DO NOT MAKE ANY CHANGES TO THIS COLUMN</t>
        </r>
      </text>
    </comment>
    <comment ref="H29" authorId="0">
      <text>
        <r>
          <rPr>
            <b/>
            <sz val="9"/>
            <color indexed="81"/>
            <rFont val="Tahoma"/>
            <family val="2"/>
          </rPr>
          <t>NOTE: 
DO NOT MAKE ANY CHANGES TO THIS COLUMN</t>
        </r>
      </text>
    </comment>
    <comment ref="A30" authorId="0">
      <text>
        <r>
          <rPr>
            <b/>
            <sz val="9"/>
            <color indexed="81"/>
            <rFont val="Tahoma"/>
            <family val="2"/>
          </rPr>
          <t>NOTE: 
DO NOT MAKE ANY CHANGES TO THIS COLUMN</t>
        </r>
      </text>
    </comment>
    <comment ref="F30" authorId="0">
      <text>
        <r>
          <rPr>
            <b/>
            <sz val="9"/>
            <color indexed="81"/>
            <rFont val="Tahoma"/>
            <family val="2"/>
          </rPr>
          <t>NOTE: 
DO NOT MAKE ANY CHANGES TO THIS COLUMN</t>
        </r>
      </text>
    </comment>
    <comment ref="G30" authorId="0">
      <text>
        <r>
          <rPr>
            <b/>
            <sz val="9"/>
            <color indexed="81"/>
            <rFont val="Tahoma"/>
            <family val="2"/>
          </rPr>
          <t>NOTE: 
DO NOT MAKE ANY CHANGES TO THIS COLUMN</t>
        </r>
      </text>
    </comment>
    <comment ref="H30" authorId="0">
      <text>
        <r>
          <rPr>
            <b/>
            <sz val="9"/>
            <color indexed="81"/>
            <rFont val="Tahoma"/>
            <family val="2"/>
          </rPr>
          <t>NOTE: 
DO NOT MAKE ANY CHANGES TO THIS COLUMN</t>
        </r>
      </text>
    </comment>
    <comment ref="A31" authorId="0">
      <text>
        <r>
          <rPr>
            <b/>
            <sz val="9"/>
            <color indexed="81"/>
            <rFont val="Tahoma"/>
            <family val="2"/>
          </rPr>
          <t>NOTE: 
DO NOT MAKE ANY CHANGES TO THIS COLUMN</t>
        </r>
      </text>
    </comment>
    <comment ref="F31" authorId="0">
      <text>
        <r>
          <rPr>
            <b/>
            <sz val="9"/>
            <color indexed="81"/>
            <rFont val="Tahoma"/>
            <family val="2"/>
          </rPr>
          <t>NOTE: 
DO NOT MAKE ANY CHANGES TO THIS COLUMN</t>
        </r>
      </text>
    </comment>
    <comment ref="G31" authorId="0">
      <text>
        <r>
          <rPr>
            <b/>
            <sz val="9"/>
            <color indexed="81"/>
            <rFont val="Tahoma"/>
            <family val="2"/>
          </rPr>
          <t>NOTE: 
DO NOT MAKE ANY CHANGES TO THIS COLUMN</t>
        </r>
      </text>
    </comment>
    <comment ref="H31" authorId="0">
      <text>
        <r>
          <rPr>
            <b/>
            <sz val="9"/>
            <color indexed="81"/>
            <rFont val="Tahoma"/>
            <family val="2"/>
          </rPr>
          <t>NOTE: 
DO NOT MAKE ANY CHANGES TO THIS COLUMN</t>
        </r>
      </text>
    </comment>
    <comment ref="A32" authorId="0">
      <text>
        <r>
          <rPr>
            <b/>
            <sz val="9"/>
            <color indexed="81"/>
            <rFont val="Tahoma"/>
            <family val="2"/>
          </rPr>
          <t>NOTE: 
DO NOT MAKE ANY CHANGES TO THIS COLUMN</t>
        </r>
      </text>
    </comment>
    <comment ref="F32" authorId="0">
      <text>
        <r>
          <rPr>
            <b/>
            <sz val="9"/>
            <color indexed="81"/>
            <rFont val="Tahoma"/>
            <family val="2"/>
          </rPr>
          <t>NOTE: 
DO NOT MAKE ANY CHANGES TO THIS COLUMN</t>
        </r>
      </text>
    </comment>
    <comment ref="G32" authorId="0">
      <text>
        <r>
          <rPr>
            <b/>
            <sz val="9"/>
            <color indexed="81"/>
            <rFont val="Tahoma"/>
            <family val="2"/>
          </rPr>
          <t>NOTE: 
DO NOT MAKE ANY CHANGES TO THIS COLUMN</t>
        </r>
      </text>
    </comment>
    <comment ref="H32" authorId="0">
      <text>
        <r>
          <rPr>
            <b/>
            <sz val="9"/>
            <color indexed="81"/>
            <rFont val="Tahoma"/>
            <family val="2"/>
          </rPr>
          <t>NOTE: 
DO NOT MAKE ANY CHANGES TO THIS COLUMN</t>
        </r>
      </text>
    </comment>
    <comment ref="A33" authorId="0">
      <text>
        <r>
          <rPr>
            <b/>
            <sz val="9"/>
            <color indexed="81"/>
            <rFont val="Tahoma"/>
            <family val="2"/>
          </rPr>
          <t>NOTE: 
DO NOT MAKE ANY CHANGES TO THIS COLUMN</t>
        </r>
      </text>
    </comment>
    <comment ref="F33" authorId="0">
      <text>
        <r>
          <rPr>
            <b/>
            <sz val="9"/>
            <color indexed="81"/>
            <rFont val="Tahoma"/>
            <family val="2"/>
          </rPr>
          <t>NOTE: 
DO NOT MAKE ANY CHANGES TO THIS COLUMN</t>
        </r>
      </text>
    </comment>
    <comment ref="G33" authorId="0">
      <text>
        <r>
          <rPr>
            <b/>
            <sz val="9"/>
            <color indexed="81"/>
            <rFont val="Tahoma"/>
            <family val="2"/>
          </rPr>
          <t>NOTE: 
DO NOT MAKE ANY CHANGES TO THIS COLUMN</t>
        </r>
      </text>
    </comment>
    <comment ref="H33" authorId="0">
      <text>
        <r>
          <rPr>
            <b/>
            <sz val="9"/>
            <color indexed="81"/>
            <rFont val="Tahoma"/>
            <family val="2"/>
          </rPr>
          <t>NOTE: 
DO NOT MAKE ANY CHANGES TO THIS COLUMN</t>
        </r>
      </text>
    </comment>
    <comment ref="A34" authorId="0">
      <text>
        <r>
          <rPr>
            <b/>
            <sz val="9"/>
            <color indexed="81"/>
            <rFont val="Tahoma"/>
            <family val="2"/>
          </rPr>
          <t>NOTE: 
DO NOT MAKE ANY CHANGES TO THIS COLUMN</t>
        </r>
      </text>
    </comment>
    <comment ref="F34" authorId="0">
      <text>
        <r>
          <rPr>
            <b/>
            <sz val="9"/>
            <color indexed="81"/>
            <rFont val="Tahoma"/>
            <family val="2"/>
          </rPr>
          <t>NOTE: 
DO NOT MAKE ANY CHANGES TO THIS COLUMN</t>
        </r>
      </text>
    </comment>
    <comment ref="G34" authorId="0">
      <text>
        <r>
          <rPr>
            <b/>
            <sz val="9"/>
            <color indexed="81"/>
            <rFont val="Tahoma"/>
            <family val="2"/>
          </rPr>
          <t>NOTE: 
DO NOT MAKE ANY CHANGES TO THIS COLUMN</t>
        </r>
      </text>
    </comment>
    <comment ref="H34" authorId="0">
      <text>
        <r>
          <rPr>
            <b/>
            <sz val="9"/>
            <color indexed="81"/>
            <rFont val="Tahoma"/>
            <family val="2"/>
          </rPr>
          <t>NOTE: 
DO NOT MAKE ANY CHANGES TO THIS COLUMN</t>
        </r>
      </text>
    </comment>
    <comment ref="A35" authorId="0">
      <text>
        <r>
          <rPr>
            <b/>
            <sz val="9"/>
            <color indexed="81"/>
            <rFont val="Tahoma"/>
            <family val="2"/>
          </rPr>
          <t>NOTE: 
DO NOT MAKE ANY CHANGES TO THIS COLUMN</t>
        </r>
      </text>
    </comment>
    <comment ref="F35" authorId="0">
      <text>
        <r>
          <rPr>
            <b/>
            <sz val="9"/>
            <color indexed="81"/>
            <rFont val="Tahoma"/>
            <family val="2"/>
          </rPr>
          <t>NOTE: 
DO NOT MAKE ANY CHANGES TO THIS COLUMN</t>
        </r>
      </text>
    </comment>
    <comment ref="G35" authorId="0">
      <text>
        <r>
          <rPr>
            <b/>
            <sz val="9"/>
            <color indexed="81"/>
            <rFont val="Tahoma"/>
            <family val="2"/>
          </rPr>
          <t>NOTE: 
DO NOT MAKE ANY CHANGES TO THIS COLUMN</t>
        </r>
      </text>
    </comment>
    <comment ref="H35" authorId="0">
      <text>
        <r>
          <rPr>
            <b/>
            <sz val="9"/>
            <color indexed="81"/>
            <rFont val="Tahoma"/>
            <family val="2"/>
          </rPr>
          <t>NOTE: 
DO NOT MAKE ANY CHANGES TO THIS COLUMN</t>
        </r>
      </text>
    </comment>
    <comment ref="A36" authorId="0">
      <text>
        <r>
          <rPr>
            <b/>
            <sz val="9"/>
            <color indexed="81"/>
            <rFont val="Tahoma"/>
            <family val="2"/>
          </rPr>
          <t>NOTE: 
DO NOT MAKE ANY CHANGES TO THIS COLUMN</t>
        </r>
      </text>
    </comment>
    <comment ref="F36" authorId="0">
      <text>
        <r>
          <rPr>
            <b/>
            <sz val="9"/>
            <color indexed="81"/>
            <rFont val="Tahoma"/>
            <family val="2"/>
          </rPr>
          <t>NOTE: 
DO NOT MAKE ANY CHANGES TO THIS COLUMN</t>
        </r>
      </text>
    </comment>
    <comment ref="G36" authorId="0">
      <text>
        <r>
          <rPr>
            <b/>
            <sz val="9"/>
            <color indexed="81"/>
            <rFont val="Tahoma"/>
            <family val="2"/>
          </rPr>
          <t>NOTE: 
DO NOT MAKE ANY CHANGES TO THIS COLUMN</t>
        </r>
      </text>
    </comment>
    <comment ref="H36" authorId="0">
      <text>
        <r>
          <rPr>
            <b/>
            <sz val="9"/>
            <color indexed="81"/>
            <rFont val="Tahoma"/>
            <family val="2"/>
          </rPr>
          <t>NOTE: 
DO NOT MAKE ANY CHANGES TO THIS COLUMN</t>
        </r>
      </text>
    </comment>
    <comment ref="A37" authorId="0">
      <text>
        <r>
          <rPr>
            <b/>
            <sz val="9"/>
            <color indexed="81"/>
            <rFont val="Tahoma"/>
            <family val="2"/>
          </rPr>
          <t>NOTE: 
DO NOT MAKE ANY CHANGES TO THIS COLUMN</t>
        </r>
      </text>
    </comment>
    <comment ref="F37" authorId="0">
      <text>
        <r>
          <rPr>
            <b/>
            <sz val="9"/>
            <color indexed="81"/>
            <rFont val="Tahoma"/>
            <family val="2"/>
          </rPr>
          <t>NOTE: 
DO NOT MAKE ANY CHANGES TO THIS COLUMN</t>
        </r>
      </text>
    </comment>
    <comment ref="A38" authorId="0">
      <text>
        <r>
          <rPr>
            <b/>
            <sz val="9"/>
            <color indexed="81"/>
            <rFont val="Tahoma"/>
            <family val="2"/>
          </rPr>
          <t>NOTE: 
DO NOT MAKE ANY CHANGES TO THIS COLUMN</t>
        </r>
      </text>
    </comment>
    <comment ref="F38" authorId="0">
      <text>
        <r>
          <rPr>
            <b/>
            <sz val="9"/>
            <color indexed="81"/>
            <rFont val="Tahoma"/>
            <family val="2"/>
          </rPr>
          <t>NOTE: 
DO NOT MAKE ANY CHANGES TO THIS COLUMN</t>
        </r>
      </text>
    </comment>
    <comment ref="A39" authorId="0">
      <text>
        <r>
          <rPr>
            <b/>
            <sz val="9"/>
            <color indexed="81"/>
            <rFont val="Tahoma"/>
            <family val="2"/>
          </rPr>
          <t>NOTE: 
DO NOT MAKE ANY CHANGES TO THIS COLUMN</t>
        </r>
      </text>
    </comment>
    <comment ref="F39" authorId="0">
      <text>
        <r>
          <rPr>
            <b/>
            <sz val="9"/>
            <color indexed="81"/>
            <rFont val="Tahoma"/>
            <family val="2"/>
          </rPr>
          <t>NOTE: 
DO NOT MAKE ANY CHANGES TO THIS COLUMN</t>
        </r>
      </text>
    </comment>
    <comment ref="A40" authorId="0">
      <text>
        <r>
          <rPr>
            <b/>
            <sz val="9"/>
            <color indexed="81"/>
            <rFont val="Tahoma"/>
            <family val="2"/>
          </rPr>
          <t>NOTE: 
DO NOT MAKE ANY CHANGES TO THIS COLUMN</t>
        </r>
      </text>
    </comment>
    <comment ref="F40" authorId="0">
      <text>
        <r>
          <rPr>
            <b/>
            <sz val="9"/>
            <color indexed="81"/>
            <rFont val="Tahoma"/>
            <family val="2"/>
          </rPr>
          <t>NOTE: 
DO NOT MAKE ANY CHANGES TO THIS COLUMN</t>
        </r>
      </text>
    </comment>
    <comment ref="A41" authorId="0">
      <text>
        <r>
          <rPr>
            <b/>
            <sz val="9"/>
            <color indexed="81"/>
            <rFont val="Tahoma"/>
            <family val="2"/>
          </rPr>
          <t>NOTE: 
DO NOT MAKE ANY CHANGES TO THIS COLUMN</t>
        </r>
      </text>
    </comment>
    <comment ref="F41" authorId="0">
      <text>
        <r>
          <rPr>
            <b/>
            <sz val="9"/>
            <color indexed="81"/>
            <rFont val="Tahoma"/>
            <family val="2"/>
          </rPr>
          <t>NOTE: 
DO NOT MAKE ANY CHANGES TO THIS COLUMN</t>
        </r>
      </text>
    </comment>
    <comment ref="A42" authorId="0">
      <text>
        <r>
          <rPr>
            <b/>
            <sz val="9"/>
            <color indexed="81"/>
            <rFont val="Tahoma"/>
            <family val="2"/>
          </rPr>
          <t>NOTE: 
DO NOT MAKE ANY CHANGES TO THIS COLUMN</t>
        </r>
      </text>
    </comment>
    <comment ref="F42" authorId="0">
      <text>
        <r>
          <rPr>
            <b/>
            <sz val="9"/>
            <color indexed="81"/>
            <rFont val="Tahoma"/>
            <family val="2"/>
          </rPr>
          <t>NOTE: 
DO NOT MAKE ANY CHANGES TO THIS COLUMN</t>
        </r>
      </text>
    </comment>
    <comment ref="A43" authorId="0">
      <text>
        <r>
          <rPr>
            <b/>
            <sz val="9"/>
            <color indexed="81"/>
            <rFont val="Tahoma"/>
            <family val="2"/>
          </rPr>
          <t>NOTE: 
DO NOT MAKE ANY CHANGES TO THIS COLUMN</t>
        </r>
      </text>
    </comment>
    <comment ref="F43" authorId="0">
      <text>
        <r>
          <rPr>
            <b/>
            <sz val="9"/>
            <color indexed="81"/>
            <rFont val="Tahoma"/>
            <family val="2"/>
          </rPr>
          <t>NOTE: 
DO NOT MAKE ANY CHANGES TO THIS COLUMN</t>
        </r>
      </text>
    </comment>
    <comment ref="A44" authorId="0">
      <text>
        <r>
          <rPr>
            <b/>
            <sz val="9"/>
            <color indexed="81"/>
            <rFont val="Tahoma"/>
            <family val="2"/>
          </rPr>
          <t>NOTE: 
DO NOT MAKE ANY CHANGES TO THIS COLUMN</t>
        </r>
      </text>
    </comment>
    <comment ref="F44" authorId="0">
      <text>
        <r>
          <rPr>
            <b/>
            <sz val="9"/>
            <color indexed="81"/>
            <rFont val="Tahoma"/>
            <family val="2"/>
          </rPr>
          <t>NOTE: 
DO NOT MAKE ANY CHANGES TO THIS COLUMN</t>
        </r>
      </text>
    </comment>
    <comment ref="A45" authorId="0">
      <text>
        <r>
          <rPr>
            <b/>
            <sz val="9"/>
            <color indexed="81"/>
            <rFont val="Tahoma"/>
            <family val="2"/>
          </rPr>
          <t>NOTE: 
DO NOT MAKE ANY CHANGES TO THIS COLUMN</t>
        </r>
      </text>
    </comment>
    <comment ref="F45" authorId="0">
      <text>
        <r>
          <rPr>
            <b/>
            <sz val="9"/>
            <color indexed="81"/>
            <rFont val="Tahoma"/>
            <family val="2"/>
          </rPr>
          <t>NOTE: 
DO NOT MAKE ANY CHANGES TO THIS COLUMN</t>
        </r>
      </text>
    </comment>
    <comment ref="A46" authorId="0">
      <text>
        <r>
          <rPr>
            <b/>
            <sz val="9"/>
            <color indexed="81"/>
            <rFont val="Tahoma"/>
            <family val="2"/>
          </rPr>
          <t>NOTE: 
DO NOT MAKE ANY CHANGES TO THIS COLUMN</t>
        </r>
      </text>
    </comment>
    <comment ref="F46" authorId="0">
      <text>
        <r>
          <rPr>
            <b/>
            <sz val="9"/>
            <color indexed="81"/>
            <rFont val="Tahoma"/>
            <family val="2"/>
          </rPr>
          <t>NOTE: 
DO NOT MAKE ANY CHANGES TO THIS COLUMN</t>
        </r>
      </text>
    </comment>
    <comment ref="A47" authorId="0">
      <text>
        <r>
          <rPr>
            <b/>
            <sz val="9"/>
            <color indexed="81"/>
            <rFont val="Tahoma"/>
            <family val="2"/>
          </rPr>
          <t>NOTE: 
DO NOT MAKE ANY CHANGES TO THIS COLUMN</t>
        </r>
      </text>
    </comment>
    <comment ref="F47" authorId="0">
      <text>
        <r>
          <rPr>
            <b/>
            <sz val="9"/>
            <color indexed="81"/>
            <rFont val="Tahoma"/>
            <family val="2"/>
          </rPr>
          <t>NOTE: 
DO NOT MAKE ANY CHANGES TO THIS COLUMN</t>
        </r>
      </text>
    </comment>
    <comment ref="A48" authorId="0">
      <text>
        <r>
          <rPr>
            <b/>
            <sz val="9"/>
            <color indexed="81"/>
            <rFont val="Tahoma"/>
            <family val="2"/>
          </rPr>
          <t>NOTE: 
DO NOT MAKE ANY CHANGES TO THIS COLUMN</t>
        </r>
      </text>
    </comment>
    <comment ref="F48" authorId="0">
      <text>
        <r>
          <rPr>
            <b/>
            <sz val="9"/>
            <color indexed="81"/>
            <rFont val="Tahoma"/>
            <family val="2"/>
          </rPr>
          <t>NOTE: 
DO NOT MAKE ANY CHANGES TO THIS COLUMN</t>
        </r>
      </text>
    </comment>
    <comment ref="A49" authorId="0">
      <text>
        <r>
          <rPr>
            <b/>
            <sz val="9"/>
            <color indexed="81"/>
            <rFont val="Tahoma"/>
            <family val="2"/>
          </rPr>
          <t>NOTE: 
DO NOT MAKE ANY CHANGES TO THIS COLUMN</t>
        </r>
      </text>
    </comment>
    <comment ref="F49" authorId="0">
      <text>
        <r>
          <rPr>
            <b/>
            <sz val="9"/>
            <color indexed="81"/>
            <rFont val="Tahoma"/>
            <family val="2"/>
          </rPr>
          <t>NOTE: 
DO NOT MAKE ANY CHANGES TO THIS COLUMN</t>
        </r>
      </text>
    </comment>
    <comment ref="A50" authorId="0">
      <text>
        <r>
          <rPr>
            <b/>
            <sz val="9"/>
            <color indexed="81"/>
            <rFont val="Tahoma"/>
            <family val="2"/>
          </rPr>
          <t>NOTE: 
DO NOT MAKE ANY CHANGES TO THIS COLUMN</t>
        </r>
      </text>
    </comment>
    <comment ref="F50" authorId="0">
      <text>
        <r>
          <rPr>
            <b/>
            <sz val="9"/>
            <color indexed="81"/>
            <rFont val="Tahoma"/>
            <family val="2"/>
          </rPr>
          <t>NOTE: 
DO NOT MAKE ANY CHANGES TO THIS COLUMN</t>
        </r>
      </text>
    </comment>
    <comment ref="A51" authorId="0">
      <text>
        <r>
          <rPr>
            <b/>
            <sz val="9"/>
            <color indexed="81"/>
            <rFont val="Tahoma"/>
            <family val="2"/>
          </rPr>
          <t>NOTE: 
DO NOT MAKE ANY CHANGES TO THIS COLUMN</t>
        </r>
      </text>
    </comment>
    <comment ref="F51" authorId="0">
      <text>
        <r>
          <rPr>
            <b/>
            <sz val="9"/>
            <color indexed="81"/>
            <rFont val="Tahoma"/>
            <family val="2"/>
          </rPr>
          <t>NOTE: 
DO NOT MAKE ANY CHANGES TO THIS COLUMN</t>
        </r>
      </text>
    </comment>
    <comment ref="A52" authorId="0">
      <text>
        <r>
          <rPr>
            <b/>
            <sz val="9"/>
            <color indexed="81"/>
            <rFont val="Tahoma"/>
            <family val="2"/>
          </rPr>
          <t>NOTE: 
DO NOT MAKE ANY CHANGES TO THIS COLUMN</t>
        </r>
      </text>
    </comment>
    <comment ref="F52" authorId="0">
      <text>
        <r>
          <rPr>
            <b/>
            <sz val="9"/>
            <color indexed="81"/>
            <rFont val="Tahoma"/>
            <family val="2"/>
          </rPr>
          <t>NOTE: 
DO NOT MAKE ANY CHANGES TO THIS COLUMN</t>
        </r>
      </text>
    </comment>
    <comment ref="A53" authorId="0">
      <text>
        <r>
          <rPr>
            <b/>
            <sz val="9"/>
            <color indexed="81"/>
            <rFont val="Tahoma"/>
            <family val="2"/>
          </rPr>
          <t>NOTE: 
DO NOT MAKE ANY CHANGES TO THIS COLUMN</t>
        </r>
      </text>
    </comment>
    <comment ref="A54" authorId="0">
      <text>
        <r>
          <rPr>
            <b/>
            <sz val="9"/>
            <color indexed="81"/>
            <rFont val="Tahoma"/>
            <family val="2"/>
          </rPr>
          <t>NOTE: 
DO NOT MAKE ANY CHANGES TO THIS COLUMN</t>
        </r>
      </text>
    </comment>
    <comment ref="A55" authorId="0">
      <text>
        <r>
          <rPr>
            <b/>
            <sz val="9"/>
            <color indexed="81"/>
            <rFont val="Tahoma"/>
            <family val="2"/>
          </rPr>
          <t>NOTE: 
DO NOT MAKE ANY CHANGES TO THIS COLUMN</t>
        </r>
      </text>
    </comment>
    <comment ref="A56" authorId="0">
      <text>
        <r>
          <rPr>
            <b/>
            <sz val="9"/>
            <color indexed="81"/>
            <rFont val="Tahoma"/>
            <family val="2"/>
          </rPr>
          <t>NOTE: 
DO NOT MAKE ANY CHANGES TO THIS COLUMN</t>
        </r>
      </text>
    </comment>
    <comment ref="A57" authorId="0">
      <text>
        <r>
          <rPr>
            <b/>
            <sz val="9"/>
            <color indexed="81"/>
            <rFont val="Tahoma"/>
            <family val="2"/>
          </rPr>
          <t>NOTE: 
DO NOT MAKE ANY CHANGES TO THIS COLUMN</t>
        </r>
      </text>
    </comment>
    <comment ref="A58" authorId="0">
      <text>
        <r>
          <rPr>
            <b/>
            <sz val="9"/>
            <color indexed="81"/>
            <rFont val="Tahoma"/>
            <family val="2"/>
          </rPr>
          <t>NOTE: 
DO NOT MAKE ANY CHANGES TO THIS COLUMN</t>
        </r>
      </text>
    </comment>
    <comment ref="A59" authorId="0">
      <text>
        <r>
          <rPr>
            <b/>
            <sz val="9"/>
            <color indexed="81"/>
            <rFont val="Tahoma"/>
            <family val="2"/>
          </rPr>
          <t>NOTE: 
DO NOT MAKE ANY CHANGES TO THIS COLUMN</t>
        </r>
      </text>
    </comment>
    <comment ref="A60" authorId="0">
      <text>
        <r>
          <rPr>
            <b/>
            <sz val="9"/>
            <color indexed="81"/>
            <rFont val="Tahoma"/>
            <family val="2"/>
          </rPr>
          <t>NOTE: 
DO NOT MAKE ANY CHANGES TO THIS COLUMN</t>
        </r>
      </text>
    </comment>
    <comment ref="A61" authorId="0">
      <text>
        <r>
          <rPr>
            <b/>
            <sz val="9"/>
            <color indexed="81"/>
            <rFont val="Tahoma"/>
            <family val="2"/>
          </rPr>
          <t>NOTE: 
DO NOT MAKE ANY CHANGES TO THIS COLUMN</t>
        </r>
      </text>
    </comment>
    <comment ref="A62" authorId="0">
      <text>
        <r>
          <rPr>
            <b/>
            <sz val="9"/>
            <color indexed="81"/>
            <rFont val="Tahoma"/>
            <family val="2"/>
          </rPr>
          <t>NOTE: 
DO NOT MAKE ANY CHANGES TO THIS COLUMN</t>
        </r>
      </text>
    </comment>
    <comment ref="A63" authorId="0">
      <text>
        <r>
          <rPr>
            <b/>
            <sz val="9"/>
            <color indexed="81"/>
            <rFont val="Tahoma"/>
            <family val="2"/>
          </rPr>
          <t>NOTE: 
DO NOT MAKE ANY CHANGES TO THIS COLUMN</t>
        </r>
      </text>
    </comment>
    <comment ref="A64" authorId="0">
      <text>
        <r>
          <rPr>
            <b/>
            <sz val="9"/>
            <color indexed="81"/>
            <rFont val="Tahoma"/>
            <family val="2"/>
          </rPr>
          <t>NOTE: 
DO NOT MAKE ANY CHANGES TO THIS COLUMN</t>
        </r>
      </text>
    </comment>
    <comment ref="A65" authorId="0">
      <text>
        <r>
          <rPr>
            <b/>
            <sz val="9"/>
            <color indexed="81"/>
            <rFont val="Tahoma"/>
            <family val="2"/>
          </rPr>
          <t>NOTE: 
DO NOT MAKE ANY CHANGES TO THIS COLUMN</t>
        </r>
      </text>
    </comment>
    <comment ref="A66" authorId="0">
      <text>
        <r>
          <rPr>
            <b/>
            <sz val="9"/>
            <color indexed="81"/>
            <rFont val="Tahoma"/>
            <family val="2"/>
          </rPr>
          <t>NOTE: 
DO NOT MAKE ANY CHANGES TO THIS COLUMN</t>
        </r>
      </text>
    </comment>
    <comment ref="A67" authorId="0">
      <text>
        <r>
          <rPr>
            <b/>
            <sz val="9"/>
            <color indexed="81"/>
            <rFont val="Tahoma"/>
            <family val="2"/>
          </rPr>
          <t>NOTE: 
DO NOT MAKE ANY CHANGES TO THIS COLUMN</t>
        </r>
      </text>
    </comment>
    <comment ref="A68" authorId="0">
      <text>
        <r>
          <rPr>
            <b/>
            <sz val="9"/>
            <color indexed="81"/>
            <rFont val="Tahoma"/>
            <family val="2"/>
          </rPr>
          <t>NOTE: 
DO NOT MAKE ANY CHANGES TO THIS COLUMN</t>
        </r>
      </text>
    </comment>
    <comment ref="A69" authorId="0">
      <text>
        <r>
          <rPr>
            <b/>
            <sz val="9"/>
            <color indexed="81"/>
            <rFont val="Tahoma"/>
            <family val="2"/>
          </rPr>
          <t>NOTE: 
DO NOT MAKE ANY CHANGES TO THIS COLUMN</t>
        </r>
      </text>
    </comment>
    <comment ref="A70" authorId="0">
      <text>
        <r>
          <rPr>
            <b/>
            <sz val="9"/>
            <color indexed="81"/>
            <rFont val="Tahoma"/>
            <family val="2"/>
          </rPr>
          <t>NOTE: 
DO NOT MAKE ANY CHANGES TO THIS COLUMN</t>
        </r>
      </text>
    </comment>
    <comment ref="A71" authorId="0">
      <text>
        <r>
          <rPr>
            <b/>
            <sz val="9"/>
            <color indexed="81"/>
            <rFont val="Tahoma"/>
            <family val="2"/>
          </rPr>
          <t>NOTE: 
DO NOT MAKE ANY CHANGES TO THIS COLUMN</t>
        </r>
      </text>
    </comment>
    <comment ref="A72" authorId="0">
      <text>
        <r>
          <rPr>
            <b/>
            <sz val="9"/>
            <color indexed="81"/>
            <rFont val="Tahoma"/>
            <family val="2"/>
          </rPr>
          <t>NOTE: 
DO NOT MAKE ANY CHANGES TO THIS COLUMN</t>
        </r>
      </text>
    </comment>
    <comment ref="A73" authorId="0">
      <text>
        <r>
          <rPr>
            <b/>
            <sz val="9"/>
            <color indexed="81"/>
            <rFont val="Tahoma"/>
            <family val="2"/>
          </rPr>
          <t>NOTE: 
DO NOT MAKE ANY CHANGES TO THIS COLUMN</t>
        </r>
      </text>
    </comment>
    <comment ref="A74" authorId="0">
      <text>
        <r>
          <rPr>
            <b/>
            <sz val="9"/>
            <color indexed="81"/>
            <rFont val="Tahoma"/>
            <family val="2"/>
          </rPr>
          <t>NOTE: 
DO NOT MAKE ANY CHANGES TO THIS COLUMN</t>
        </r>
      </text>
    </comment>
    <comment ref="A75" authorId="0">
      <text>
        <r>
          <rPr>
            <b/>
            <sz val="9"/>
            <color indexed="81"/>
            <rFont val="Tahoma"/>
            <family val="2"/>
          </rPr>
          <t>NOTE: 
DO NOT MAKE ANY CHANGES TO THIS COLUMN</t>
        </r>
      </text>
    </comment>
    <comment ref="A76" authorId="0">
      <text>
        <r>
          <rPr>
            <b/>
            <sz val="9"/>
            <color indexed="81"/>
            <rFont val="Tahoma"/>
            <family val="2"/>
          </rPr>
          <t>NOTE: 
DO NOT MAKE ANY CHANGES TO THIS COLUMN</t>
        </r>
      </text>
    </comment>
    <comment ref="A77" authorId="0">
      <text>
        <r>
          <rPr>
            <b/>
            <sz val="9"/>
            <color indexed="81"/>
            <rFont val="Tahoma"/>
            <family val="2"/>
          </rPr>
          <t>NOTE: 
DO NOT MAKE ANY CHANGES TO THIS COLUMN</t>
        </r>
      </text>
    </comment>
    <comment ref="A78" authorId="0">
      <text>
        <r>
          <rPr>
            <b/>
            <sz val="9"/>
            <color indexed="81"/>
            <rFont val="Tahoma"/>
            <family val="2"/>
          </rPr>
          <t>NOTE: 
DO NOT MAKE ANY CHANGES TO THIS COLUMN</t>
        </r>
      </text>
    </comment>
    <comment ref="A79" authorId="0">
      <text>
        <r>
          <rPr>
            <b/>
            <sz val="9"/>
            <color indexed="81"/>
            <rFont val="Tahoma"/>
            <family val="2"/>
          </rPr>
          <t>NOTE: 
DO NOT MAKE ANY CHANGES TO THIS COLUMN</t>
        </r>
      </text>
    </comment>
    <comment ref="A80" authorId="0">
      <text>
        <r>
          <rPr>
            <b/>
            <sz val="9"/>
            <color indexed="81"/>
            <rFont val="Tahoma"/>
            <family val="2"/>
          </rPr>
          <t>NOTE: 
DO NOT MAKE ANY CHANGES TO THIS COLUMN</t>
        </r>
      </text>
    </comment>
    <comment ref="A81" authorId="0">
      <text>
        <r>
          <rPr>
            <b/>
            <sz val="9"/>
            <color indexed="81"/>
            <rFont val="Tahoma"/>
            <family val="2"/>
          </rPr>
          <t>NOTE: 
DO NOT MAKE ANY CHANGES TO THIS COLUMN</t>
        </r>
      </text>
    </comment>
    <comment ref="A82" authorId="0">
      <text>
        <r>
          <rPr>
            <b/>
            <sz val="9"/>
            <color indexed="81"/>
            <rFont val="Tahoma"/>
            <family val="2"/>
          </rPr>
          <t>NOTE: 
DO NOT MAKE ANY CHANGES TO THIS COLUMN</t>
        </r>
      </text>
    </comment>
    <comment ref="A83" authorId="0">
      <text>
        <r>
          <rPr>
            <b/>
            <sz val="9"/>
            <color indexed="81"/>
            <rFont val="Tahoma"/>
            <family val="2"/>
          </rPr>
          <t>NOTE: 
DO NOT MAKE ANY CHANGES TO THIS COLUMN</t>
        </r>
      </text>
    </comment>
    <comment ref="A84" authorId="0">
      <text>
        <r>
          <rPr>
            <b/>
            <sz val="9"/>
            <color indexed="81"/>
            <rFont val="Tahoma"/>
            <family val="2"/>
          </rPr>
          <t>NOTE: 
DO NOT MAKE ANY CHANGES TO THIS COLUMN</t>
        </r>
      </text>
    </comment>
    <comment ref="A85" authorId="0">
      <text>
        <r>
          <rPr>
            <b/>
            <sz val="9"/>
            <color indexed="81"/>
            <rFont val="Tahoma"/>
            <family val="2"/>
          </rPr>
          <t>NOTE: 
DO NOT MAKE ANY CHANGES TO THIS COLUMN</t>
        </r>
      </text>
    </comment>
    <comment ref="A86" authorId="0">
      <text>
        <r>
          <rPr>
            <b/>
            <sz val="9"/>
            <color indexed="81"/>
            <rFont val="Tahoma"/>
            <family val="2"/>
          </rPr>
          <t>NOTE: 
DO NOT MAKE ANY CHANGES TO THIS COLUMN</t>
        </r>
      </text>
    </comment>
    <comment ref="A87" authorId="0">
      <text>
        <r>
          <rPr>
            <b/>
            <sz val="9"/>
            <color indexed="81"/>
            <rFont val="Tahoma"/>
            <family val="2"/>
          </rPr>
          <t>NOTE: 
DO NOT MAKE ANY CHANGES TO THIS COLUMN</t>
        </r>
      </text>
    </comment>
    <comment ref="A88" authorId="0">
      <text>
        <r>
          <rPr>
            <b/>
            <sz val="9"/>
            <color indexed="81"/>
            <rFont val="Tahoma"/>
            <family val="2"/>
          </rPr>
          <t>NOTE: 
DO NOT MAKE ANY CHANGES TO THIS COLUMN</t>
        </r>
      </text>
    </comment>
    <comment ref="A89" authorId="0">
      <text>
        <r>
          <rPr>
            <b/>
            <sz val="9"/>
            <color indexed="81"/>
            <rFont val="Tahoma"/>
            <family val="2"/>
          </rPr>
          <t>NOTE: 
DO NOT MAKE ANY CHANGES TO THIS COLUMN</t>
        </r>
      </text>
    </comment>
    <comment ref="A90" authorId="0">
      <text>
        <r>
          <rPr>
            <b/>
            <sz val="9"/>
            <color indexed="81"/>
            <rFont val="Tahoma"/>
            <family val="2"/>
          </rPr>
          <t>NOTE: 
DO NOT MAKE ANY CHANGES TO THIS COLUMN</t>
        </r>
      </text>
    </comment>
    <comment ref="A91" authorId="0">
      <text>
        <r>
          <rPr>
            <b/>
            <sz val="9"/>
            <color indexed="81"/>
            <rFont val="Tahoma"/>
            <family val="2"/>
          </rPr>
          <t>NOTE: 
DO NOT MAKE ANY CHANGES TO THIS COLUMN</t>
        </r>
      </text>
    </comment>
    <comment ref="A92" authorId="0">
      <text>
        <r>
          <rPr>
            <b/>
            <sz val="9"/>
            <color indexed="81"/>
            <rFont val="Tahoma"/>
            <family val="2"/>
          </rPr>
          <t>NOTE: 
DO NOT MAKE ANY CHANGES TO THIS COLUMN</t>
        </r>
      </text>
    </comment>
    <comment ref="A93" authorId="0">
      <text>
        <r>
          <rPr>
            <b/>
            <sz val="9"/>
            <color indexed="81"/>
            <rFont val="Tahoma"/>
            <family val="2"/>
          </rPr>
          <t>NOTE: 
DO NOT MAKE ANY CHANGES TO THIS COLUMN</t>
        </r>
      </text>
    </comment>
    <comment ref="A94" authorId="0">
      <text>
        <r>
          <rPr>
            <b/>
            <sz val="9"/>
            <color indexed="81"/>
            <rFont val="Tahoma"/>
            <family val="2"/>
          </rPr>
          <t>NOTE: 
DO NOT MAKE ANY CHANGES TO THIS COLUMN</t>
        </r>
      </text>
    </comment>
    <comment ref="A95" authorId="0">
      <text>
        <r>
          <rPr>
            <b/>
            <sz val="9"/>
            <color indexed="81"/>
            <rFont val="Tahoma"/>
            <family val="2"/>
          </rPr>
          <t>NOTE: 
DO NOT MAKE ANY CHANGES TO THIS COLUMN</t>
        </r>
      </text>
    </comment>
    <comment ref="A96" authorId="0">
      <text>
        <r>
          <rPr>
            <b/>
            <sz val="9"/>
            <color indexed="81"/>
            <rFont val="Tahoma"/>
            <family val="2"/>
          </rPr>
          <t>NOTE: 
DO NOT MAKE ANY CHANGES TO THIS COLUMN</t>
        </r>
      </text>
    </comment>
    <comment ref="A97" authorId="0">
      <text>
        <r>
          <rPr>
            <b/>
            <sz val="9"/>
            <color indexed="81"/>
            <rFont val="Tahoma"/>
            <family val="2"/>
          </rPr>
          <t>NOTE: 
DO NOT MAKE ANY CHANGES TO THIS COLUMN</t>
        </r>
      </text>
    </comment>
    <comment ref="A98" authorId="0">
      <text>
        <r>
          <rPr>
            <b/>
            <sz val="9"/>
            <color indexed="81"/>
            <rFont val="Tahoma"/>
            <family val="2"/>
          </rPr>
          <t>NOTE: 
DO NOT MAKE ANY CHANGES TO THIS COLUMN</t>
        </r>
      </text>
    </comment>
    <comment ref="A99" authorId="0">
      <text>
        <r>
          <rPr>
            <b/>
            <sz val="9"/>
            <color indexed="81"/>
            <rFont val="Tahoma"/>
            <family val="2"/>
          </rPr>
          <t>NOTE: 
DO NOT MAKE ANY CHANGES TO THIS COLUMN</t>
        </r>
      </text>
    </comment>
    <comment ref="A100" authorId="0">
      <text>
        <r>
          <rPr>
            <b/>
            <sz val="9"/>
            <color indexed="81"/>
            <rFont val="Tahoma"/>
            <family val="2"/>
          </rPr>
          <t>NOTE: 
DO NOT MAKE ANY CHANGES TO THIS COLUMN</t>
        </r>
      </text>
    </comment>
    <comment ref="A101" authorId="0">
      <text>
        <r>
          <rPr>
            <b/>
            <sz val="9"/>
            <color indexed="81"/>
            <rFont val="Tahoma"/>
            <family val="2"/>
          </rPr>
          <t>NOTE: 
DO NOT MAKE ANY CHANGES TO THIS COLUMN</t>
        </r>
      </text>
    </comment>
    <comment ref="A102" authorId="0">
      <text>
        <r>
          <rPr>
            <b/>
            <sz val="9"/>
            <color indexed="81"/>
            <rFont val="Tahoma"/>
            <family val="2"/>
          </rPr>
          <t>NOTE: 
DO NOT MAKE ANY CHANGES TO THIS COLUMN</t>
        </r>
      </text>
    </comment>
    <comment ref="A103" authorId="0">
      <text>
        <r>
          <rPr>
            <b/>
            <sz val="9"/>
            <color indexed="81"/>
            <rFont val="Tahoma"/>
            <family val="2"/>
          </rPr>
          <t>NOTE: 
DO NOT MAKE ANY CHANGES TO THIS COLUMN</t>
        </r>
      </text>
    </comment>
    <comment ref="A104" authorId="0">
      <text>
        <r>
          <rPr>
            <b/>
            <sz val="9"/>
            <color indexed="81"/>
            <rFont val="Tahoma"/>
            <family val="2"/>
          </rPr>
          <t>NOTE: 
DO NOT MAKE ANY CHANGES TO THIS COLUMN</t>
        </r>
      </text>
    </comment>
    <comment ref="A105" authorId="0">
      <text>
        <r>
          <rPr>
            <b/>
            <sz val="9"/>
            <color indexed="81"/>
            <rFont val="Tahoma"/>
            <family val="2"/>
          </rPr>
          <t>NOTE: 
DO NOT MAKE ANY CHANGES TO THIS COLUMN</t>
        </r>
      </text>
    </comment>
    <comment ref="A106" authorId="0">
      <text>
        <r>
          <rPr>
            <b/>
            <sz val="9"/>
            <color indexed="81"/>
            <rFont val="Tahoma"/>
            <family val="2"/>
          </rPr>
          <t>NOTE: 
DO NOT MAKE ANY CHANGES TO THIS COLUMN</t>
        </r>
      </text>
    </comment>
    <comment ref="A107" authorId="0">
      <text>
        <r>
          <rPr>
            <b/>
            <sz val="9"/>
            <color indexed="81"/>
            <rFont val="Tahoma"/>
            <family val="2"/>
          </rPr>
          <t>NOTE: 
DO NOT MAKE ANY CHANGES TO THIS COLUMN</t>
        </r>
      </text>
    </comment>
    <comment ref="A108" authorId="0">
      <text>
        <r>
          <rPr>
            <b/>
            <sz val="9"/>
            <color indexed="81"/>
            <rFont val="Tahoma"/>
            <family val="2"/>
          </rPr>
          <t>NOTE: 
DO NOT MAKE ANY CHANGES TO THIS COLUMN</t>
        </r>
      </text>
    </comment>
    <comment ref="A109" authorId="0">
      <text>
        <r>
          <rPr>
            <b/>
            <sz val="9"/>
            <color indexed="81"/>
            <rFont val="Tahoma"/>
            <family val="2"/>
          </rPr>
          <t>NOTE: 
DO NOT MAKE ANY CHANGES TO THIS COLUMN</t>
        </r>
      </text>
    </comment>
    <comment ref="A110" authorId="0">
      <text>
        <r>
          <rPr>
            <b/>
            <sz val="9"/>
            <color indexed="81"/>
            <rFont val="Tahoma"/>
            <family val="2"/>
          </rPr>
          <t>NOTE: 
DO NOT MAKE ANY CHANGES TO THIS COLUMN</t>
        </r>
      </text>
    </comment>
    <comment ref="A111" authorId="0">
      <text>
        <r>
          <rPr>
            <b/>
            <sz val="9"/>
            <color indexed="81"/>
            <rFont val="Tahoma"/>
            <family val="2"/>
          </rPr>
          <t>NOTE: 
DO NOT MAKE ANY CHANGES TO THIS COLUMN</t>
        </r>
      </text>
    </comment>
    <comment ref="A112" authorId="0">
      <text>
        <r>
          <rPr>
            <b/>
            <sz val="9"/>
            <color indexed="81"/>
            <rFont val="Tahoma"/>
            <family val="2"/>
          </rPr>
          <t>NOTE: 
DO NOT MAKE ANY CHANGES TO THIS COLUMN</t>
        </r>
      </text>
    </comment>
    <comment ref="A113" authorId="0">
      <text>
        <r>
          <rPr>
            <b/>
            <sz val="9"/>
            <color indexed="81"/>
            <rFont val="Tahoma"/>
            <family val="2"/>
          </rPr>
          <t>NOTE: 
DO NOT MAKE ANY CHANGES TO THIS COLUMN</t>
        </r>
      </text>
    </comment>
    <comment ref="A114" authorId="0">
      <text>
        <r>
          <rPr>
            <b/>
            <sz val="9"/>
            <color indexed="81"/>
            <rFont val="Tahoma"/>
            <family val="2"/>
          </rPr>
          <t>NOTE: 
DO NOT MAKE ANY CHANGES TO THIS COLUMN</t>
        </r>
      </text>
    </comment>
    <comment ref="A115" authorId="0">
      <text>
        <r>
          <rPr>
            <b/>
            <sz val="9"/>
            <color indexed="81"/>
            <rFont val="Tahoma"/>
            <family val="2"/>
          </rPr>
          <t>NOTE: 
DO NOT MAKE ANY CHANGES TO THIS COLUMN</t>
        </r>
      </text>
    </comment>
    <comment ref="A116" authorId="0">
      <text>
        <r>
          <rPr>
            <b/>
            <sz val="9"/>
            <color indexed="81"/>
            <rFont val="Tahoma"/>
            <family val="2"/>
          </rPr>
          <t>NOTE: 
DO NOT MAKE ANY CHANGES TO THIS COLUMN</t>
        </r>
      </text>
    </comment>
    <comment ref="A117" authorId="0">
      <text>
        <r>
          <rPr>
            <b/>
            <sz val="9"/>
            <color indexed="81"/>
            <rFont val="Tahoma"/>
            <family val="2"/>
          </rPr>
          <t>NOTE: 
DO NOT MAKE ANY CHANGES TO THIS COLUMN</t>
        </r>
      </text>
    </comment>
    <comment ref="A118" authorId="0">
      <text>
        <r>
          <rPr>
            <b/>
            <sz val="9"/>
            <color indexed="81"/>
            <rFont val="Tahoma"/>
            <family val="2"/>
          </rPr>
          <t>NOTE: 
DO NOT MAKE ANY CHANGES TO THIS COLUMN</t>
        </r>
      </text>
    </comment>
    <comment ref="A119" authorId="0">
      <text>
        <r>
          <rPr>
            <b/>
            <sz val="9"/>
            <color indexed="81"/>
            <rFont val="Tahoma"/>
            <family val="2"/>
          </rPr>
          <t>NOTE: 
DO NOT MAKE ANY CHANGES TO THIS COLUMN</t>
        </r>
      </text>
    </comment>
    <comment ref="A120" authorId="0">
      <text>
        <r>
          <rPr>
            <b/>
            <sz val="9"/>
            <color indexed="81"/>
            <rFont val="Tahoma"/>
            <family val="2"/>
          </rPr>
          <t>NOTE: 
DO NOT MAKE ANY CHANGES TO THIS COLUMN</t>
        </r>
      </text>
    </comment>
    <comment ref="A121" authorId="0">
      <text>
        <r>
          <rPr>
            <b/>
            <sz val="9"/>
            <color indexed="81"/>
            <rFont val="Tahoma"/>
            <family val="2"/>
          </rPr>
          <t>NOTE: 
DO NOT MAKE ANY CHANGES TO THIS COLUMN</t>
        </r>
      </text>
    </comment>
    <comment ref="A122" authorId="0">
      <text>
        <r>
          <rPr>
            <b/>
            <sz val="9"/>
            <color indexed="81"/>
            <rFont val="Tahoma"/>
            <family val="2"/>
          </rPr>
          <t>NOTE: 
DO NOT MAKE ANY CHANGES TO THIS COLUMN</t>
        </r>
      </text>
    </comment>
    <comment ref="A123" authorId="0">
      <text>
        <r>
          <rPr>
            <b/>
            <sz val="9"/>
            <color indexed="81"/>
            <rFont val="Tahoma"/>
            <family val="2"/>
          </rPr>
          <t>NOTE: 
DO NOT MAKE ANY CHANGES TO THIS COLUMN</t>
        </r>
      </text>
    </comment>
    <comment ref="A124" authorId="0">
      <text>
        <r>
          <rPr>
            <b/>
            <sz val="9"/>
            <color indexed="81"/>
            <rFont val="Tahoma"/>
            <family val="2"/>
          </rPr>
          <t>NOTE: 
DO NOT MAKE ANY CHANGES TO THIS COLUMN</t>
        </r>
      </text>
    </comment>
    <comment ref="A125" authorId="0">
      <text>
        <r>
          <rPr>
            <b/>
            <sz val="9"/>
            <color indexed="81"/>
            <rFont val="Tahoma"/>
            <family val="2"/>
          </rPr>
          <t>NOTE: 
DO NOT MAKE ANY CHANGES TO THIS COLUMN</t>
        </r>
      </text>
    </comment>
    <comment ref="A126" authorId="0">
      <text>
        <r>
          <rPr>
            <b/>
            <sz val="9"/>
            <color indexed="81"/>
            <rFont val="Tahoma"/>
            <family val="2"/>
          </rPr>
          <t>NOTE: 
DO NOT MAKE ANY CHANGES TO THIS COLUMN</t>
        </r>
      </text>
    </comment>
    <comment ref="A127" authorId="0">
      <text>
        <r>
          <rPr>
            <b/>
            <sz val="9"/>
            <color indexed="81"/>
            <rFont val="Tahoma"/>
            <family val="2"/>
          </rPr>
          <t>NOTE: 
DO NOT MAKE ANY CHANGES TO THIS COLUMN</t>
        </r>
      </text>
    </comment>
    <comment ref="A128" authorId="0">
      <text>
        <r>
          <rPr>
            <b/>
            <sz val="9"/>
            <color indexed="81"/>
            <rFont val="Tahoma"/>
            <family val="2"/>
          </rPr>
          <t>NOTE: 
DO NOT MAKE ANY CHANGES TO THIS COLUMN</t>
        </r>
      </text>
    </comment>
    <comment ref="A129" authorId="0">
      <text>
        <r>
          <rPr>
            <b/>
            <sz val="9"/>
            <color indexed="81"/>
            <rFont val="Tahoma"/>
            <family val="2"/>
          </rPr>
          <t>NOTE: 
DO NOT MAKE ANY CHANGES TO THIS COLUMN</t>
        </r>
      </text>
    </comment>
    <comment ref="A130" authorId="0">
      <text>
        <r>
          <rPr>
            <b/>
            <sz val="9"/>
            <color indexed="81"/>
            <rFont val="Tahoma"/>
            <family val="2"/>
          </rPr>
          <t>NOTE: 
DO NOT MAKE ANY CHANGES TO THIS COLUMN</t>
        </r>
      </text>
    </comment>
    <comment ref="A131" authorId="0">
      <text>
        <r>
          <rPr>
            <b/>
            <sz val="9"/>
            <color indexed="81"/>
            <rFont val="Tahoma"/>
            <family val="2"/>
          </rPr>
          <t>NOTE: 
DO NOT MAKE ANY CHANGES TO THIS COLUMN</t>
        </r>
      </text>
    </comment>
    <comment ref="A132" authorId="0">
      <text>
        <r>
          <rPr>
            <b/>
            <sz val="9"/>
            <color indexed="81"/>
            <rFont val="Tahoma"/>
            <family val="2"/>
          </rPr>
          <t>NOTE: 
DO NOT MAKE ANY CHANGES TO THIS COLUMN</t>
        </r>
      </text>
    </comment>
    <comment ref="A133" authorId="0">
      <text>
        <r>
          <rPr>
            <b/>
            <sz val="9"/>
            <color indexed="81"/>
            <rFont val="Tahoma"/>
            <family val="2"/>
          </rPr>
          <t>NOTE: 
DO NOT MAKE ANY CHANGES TO THIS COLUMN</t>
        </r>
      </text>
    </comment>
    <comment ref="A134" authorId="0">
      <text>
        <r>
          <rPr>
            <b/>
            <sz val="9"/>
            <color indexed="81"/>
            <rFont val="Tahoma"/>
            <family val="2"/>
          </rPr>
          <t>NOTE: 
DO NOT MAKE ANY CHANGES TO THIS COLUMN</t>
        </r>
      </text>
    </comment>
    <comment ref="A135" authorId="0">
      <text>
        <r>
          <rPr>
            <b/>
            <sz val="9"/>
            <color indexed="81"/>
            <rFont val="Tahoma"/>
            <family val="2"/>
          </rPr>
          <t>NOTE: 
DO NOT MAKE ANY CHANGES TO THIS COLUMN</t>
        </r>
      </text>
    </comment>
    <comment ref="A136" authorId="0">
      <text>
        <r>
          <rPr>
            <b/>
            <sz val="9"/>
            <color indexed="81"/>
            <rFont val="Tahoma"/>
            <family val="2"/>
          </rPr>
          <t>NOTE: 
DO NOT MAKE ANY CHANGES TO THIS COLUMN</t>
        </r>
      </text>
    </comment>
    <comment ref="A137" authorId="0">
      <text>
        <r>
          <rPr>
            <b/>
            <sz val="9"/>
            <color indexed="81"/>
            <rFont val="Tahoma"/>
            <family val="2"/>
          </rPr>
          <t>NOTE: 
DO NOT MAKE ANY CHANGES TO THIS COLUMN</t>
        </r>
      </text>
    </comment>
    <comment ref="A138" authorId="0">
      <text>
        <r>
          <rPr>
            <b/>
            <sz val="9"/>
            <color indexed="81"/>
            <rFont val="Tahoma"/>
            <family val="2"/>
          </rPr>
          <t>NOTE: 
DO NOT MAKE ANY CHANGES TO THIS COLUMN</t>
        </r>
      </text>
    </comment>
    <comment ref="A139" authorId="0">
      <text>
        <r>
          <rPr>
            <b/>
            <sz val="9"/>
            <color indexed="81"/>
            <rFont val="Tahoma"/>
            <family val="2"/>
          </rPr>
          <t>NOTE: 
DO NOT MAKE ANY CHANGES TO THIS COLUMN</t>
        </r>
      </text>
    </comment>
    <comment ref="A140" authorId="0">
      <text>
        <r>
          <rPr>
            <b/>
            <sz val="9"/>
            <color indexed="81"/>
            <rFont val="Tahoma"/>
            <family val="2"/>
          </rPr>
          <t>NOTE: 
DO NOT MAKE ANY CHANGES TO THIS COLUMN</t>
        </r>
      </text>
    </comment>
    <comment ref="A141" authorId="0">
      <text>
        <r>
          <rPr>
            <b/>
            <sz val="9"/>
            <color indexed="81"/>
            <rFont val="Tahoma"/>
            <family val="2"/>
          </rPr>
          <t>NOTE: 
DO NOT MAKE ANY CHANGES TO THIS COLUMN</t>
        </r>
      </text>
    </comment>
    <comment ref="A142" authorId="0">
      <text>
        <r>
          <rPr>
            <b/>
            <sz val="9"/>
            <color indexed="81"/>
            <rFont val="Tahoma"/>
            <family val="2"/>
          </rPr>
          <t>NOTE: 
DO NOT MAKE ANY CHANGES TO THIS COLUMN</t>
        </r>
      </text>
    </comment>
    <comment ref="A143" authorId="0">
      <text>
        <r>
          <rPr>
            <b/>
            <sz val="9"/>
            <color indexed="81"/>
            <rFont val="Tahoma"/>
            <family val="2"/>
          </rPr>
          <t>NOTE: 
DO NOT MAKE ANY CHANGES TO THIS COLUMN</t>
        </r>
      </text>
    </comment>
    <comment ref="A144" authorId="0">
      <text>
        <r>
          <rPr>
            <b/>
            <sz val="9"/>
            <color indexed="81"/>
            <rFont val="Tahoma"/>
            <family val="2"/>
          </rPr>
          <t>NOTE: 
DO NOT MAKE ANY CHANGES TO THIS COLUMN</t>
        </r>
      </text>
    </comment>
    <comment ref="A145" authorId="0">
      <text>
        <r>
          <rPr>
            <b/>
            <sz val="9"/>
            <color indexed="81"/>
            <rFont val="Tahoma"/>
            <family val="2"/>
          </rPr>
          <t>NOTE: 
DO NOT MAKE ANY CHANGES TO THIS COLUMN</t>
        </r>
      </text>
    </comment>
    <comment ref="A146" authorId="0">
      <text>
        <r>
          <rPr>
            <b/>
            <sz val="9"/>
            <color indexed="81"/>
            <rFont val="Tahoma"/>
            <family val="2"/>
          </rPr>
          <t>NOTE: 
DO NOT MAKE ANY CHANGES TO THIS COLUMN</t>
        </r>
      </text>
    </comment>
    <comment ref="A147" authorId="0">
      <text>
        <r>
          <rPr>
            <b/>
            <sz val="9"/>
            <color indexed="81"/>
            <rFont val="Tahoma"/>
            <family val="2"/>
          </rPr>
          <t>NOTE: 
DO NOT MAKE ANY CHANGES TO THIS COLUMN</t>
        </r>
      </text>
    </comment>
    <comment ref="A148" authorId="0">
      <text>
        <r>
          <rPr>
            <b/>
            <sz val="9"/>
            <color indexed="81"/>
            <rFont val="Tahoma"/>
            <family val="2"/>
          </rPr>
          <t>NOTE: 
DO NOT MAKE ANY CHANGES TO THIS COLUMN</t>
        </r>
      </text>
    </comment>
    <comment ref="A149" authorId="0">
      <text>
        <r>
          <rPr>
            <b/>
            <sz val="9"/>
            <color indexed="81"/>
            <rFont val="Tahoma"/>
            <family val="2"/>
          </rPr>
          <t>NOTE: 
DO NOT MAKE ANY CHANGES TO THIS COLUMN</t>
        </r>
      </text>
    </comment>
    <comment ref="A150" authorId="0">
      <text>
        <r>
          <rPr>
            <b/>
            <sz val="9"/>
            <color indexed="81"/>
            <rFont val="Tahoma"/>
            <family val="2"/>
          </rPr>
          <t>NOTE: 
DO NOT MAKE ANY CHANGES TO THIS COLUMN</t>
        </r>
      </text>
    </comment>
    <comment ref="A151" authorId="0">
      <text>
        <r>
          <rPr>
            <b/>
            <sz val="9"/>
            <color indexed="81"/>
            <rFont val="Tahoma"/>
            <family val="2"/>
          </rPr>
          <t>NOTE: 
DO NOT MAKE ANY CHANGES TO THIS COLUMN</t>
        </r>
      </text>
    </comment>
    <comment ref="A152" authorId="0">
      <text>
        <r>
          <rPr>
            <b/>
            <sz val="9"/>
            <color indexed="81"/>
            <rFont val="Tahoma"/>
            <family val="2"/>
          </rPr>
          <t>NOTE: 
DO NOT MAKE ANY CHANGES TO THIS COLUMN</t>
        </r>
      </text>
    </comment>
    <comment ref="A153" authorId="0">
      <text>
        <r>
          <rPr>
            <b/>
            <sz val="9"/>
            <color indexed="81"/>
            <rFont val="Tahoma"/>
            <family val="2"/>
          </rPr>
          <t>NOTE: 
DO NOT MAKE ANY CHANGES TO THIS COLUMN</t>
        </r>
      </text>
    </comment>
    <comment ref="A154" authorId="0">
      <text>
        <r>
          <rPr>
            <b/>
            <sz val="9"/>
            <color indexed="81"/>
            <rFont val="Tahoma"/>
            <family val="2"/>
          </rPr>
          <t>NOTE: 
DO NOT MAKE ANY CHANGES TO THIS COLUMN</t>
        </r>
      </text>
    </comment>
    <comment ref="A155" authorId="0">
      <text>
        <r>
          <rPr>
            <b/>
            <sz val="9"/>
            <color indexed="81"/>
            <rFont val="Tahoma"/>
            <family val="2"/>
          </rPr>
          <t>NOTE: 
DO NOT MAKE ANY CHANGES TO THIS COLUMN</t>
        </r>
      </text>
    </comment>
    <comment ref="A156" authorId="0">
      <text>
        <r>
          <rPr>
            <b/>
            <sz val="9"/>
            <color indexed="81"/>
            <rFont val="Tahoma"/>
            <family val="2"/>
          </rPr>
          <t>NOTE: 
DO NOT MAKE ANY CHANGES TO THIS COLUMN</t>
        </r>
      </text>
    </comment>
    <comment ref="A157" authorId="0">
      <text>
        <r>
          <rPr>
            <b/>
            <sz val="9"/>
            <color indexed="81"/>
            <rFont val="Tahoma"/>
            <family val="2"/>
          </rPr>
          <t>NOTE: 
DO NOT MAKE ANY CHANGES TO THIS COLUMN</t>
        </r>
      </text>
    </comment>
    <comment ref="A158" authorId="0">
      <text>
        <r>
          <rPr>
            <b/>
            <sz val="9"/>
            <color indexed="81"/>
            <rFont val="Tahoma"/>
            <family val="2"/>
          </rPr>
          <t>NOTE: 
DO NOT MAKE ANY CHANGES TO THIS COLUMN</t>
        </r>
      </text>
    </comment>
    <comment ref="A159" authorId="0">
      <text>
        <r>
          <rPr>
            <b/>
            <sz val="9"/>
            <color indexed="81"/>
            <rFont val="Tahoma"/>
            <family val="2"/>
          </rPr>
          <t>NOTE: 
DO NOT MAKE ANY CHANGES TO THIS COLUMN</t>
        </r>
      </text>
    </comment>
    <comment ref="A160" authorId="0">
      <text>
        <r>
          <rPr>
            <b/>
            <sz val="9"/>
            <color indexed="81"/>
            <rFont val="Tahoma"/>
            <family val="2"/>
          </rPr>
          <t>NOTE: 
DO NOT MAKE ANY CHANGES TO THIS COLUMN</t>
        </r>
      </text>
    </comment>
    <comment ref="A161" authorId="0">
      <text>
        <r>
          <rPr>
            <b/>
            <sz val="9"/>
            <color indexed="81"/>
            <rFont val="Tahoma"/>
            <family val="2"/>
          </rPr>
          <t>NOTE: 
DO NOT MAKE ANY CHANGES TO THIS COLUMN</t>
        </r>
      </text>
    </comment>
    <comment ref="A162" authorId="0">
      <text>
        <r>
          <rPr>
            <b/>
            <sz val="9"/>
            <color indexed="81"/>
            <rFont val="Tahoma"/>
            <family val="2"/>
          </rPr>
          <t>NOTE: 
DO NOT MAKE ANY CHANGES TO THIS COLUMN</t>
        </r>
      </text>
    </comment>
    <comment ref="A163" authorId="0">
      <text>
        <r>
          <rPr>
            <b/>
            <sz val="9"/>
            <color indexed="81"/>
            <rFont val="Tahoma"/>
            <family val="2"/>
          </rPr>
          <t>NOTE: 
DO NOT MAKE ANY CHANGES TO THIS COLUMN</t>
        </r>
      </text>
    </comment>
    <comment ref="A164" authorId="0">
      <text>
        <r>
          <rPr>
            <b/>
            <sz val="9"/>
            <color indexed="81"/>
            <rFont val="Tahoma"/>
            <family val="2"/>
          </rPr>
          <t>NOTE: 
DO NOT MAKE ANY CHANGES TO THIS COLUMN</t>
        </r>
      </text>
    </comment>
    <comment ref="A165" authorId="0">
      <text>
        <r>
          <rPr>
            <b/>
            <sz val="9"/>
            <color indexed="81"/>
            <rFont val="Tahoma"/>
            <family val="2"/>
          </rPr>
          <t>NOTE: 
DO NOT MAKE ANY CHANGES TO THIS COLUMN</t>
        </r>
      </text>
    </comment>
    <comment ref="A166" authorId="0">
      <text>
        <r>
          <rPr>
            <b/>
            <sz val="9"/>
            <color indexed="81"/>
            <rFont val="Tahoma"/>
            <family val="2"/>
          </rPr>
          <t>NOTE: 
DO NOT MAKE ANY CHANGES TO THIS COLUMN</t>
        </r>
      </text>
    </comment>
    <comment ref="A167" authorId="0">
      <text>
        <r>
          <rPr>
            <b/>
            <sz val="9"/>
            <color indexed="81"/>
            <rFont val="Tahoma"/>
            <family val="2"/>
          </rPr>
          <t>NOTE: 
DO NOT MAKE ANY CHANGES TO THIS COLUMN</t>
        </r>
      </text>
    </comment>
    <comment ref="A168" authorId="0">
      <text>
        <r>
          <rPr>
            <b/>
            <sz val="9"/>
            <color indexed="81"/>
            <rFont val="Tahoma"/>
            <family val="2"/>
          </rPr>
          <t>NOTE: 
DO NOT MAKE ANY CHANGES TO THIS COLUMN</t>
        </r>
      </text>
    </comment>
    <comment ref="A169" authorId="0">
      <text>
        <r>
          <rPr>
            <b/>
            <sz val="9"/>
            <color indexed="81"/>
            <rFont val="Tahoma"/>
            <family val="2"/>
          </rPr>
          <t>NOTE: 
DO NOT MAKE ANY CHANGES TO THIS COLUMN</t>
        </r>
      </text>
    </comment>
    <comment ref="A170" authorId="0">
      <text>
        <r>
          <rPr>
            <b/>
            <sz val="9"/>
            <color indexed="81"/>
            <rFont val="Tahoma"/>
            <family val="2"/>
          </rPr>
          <t>NOTE: 
DO NOT MAKE ANY CHANGES TO THIS COLUMN</t>
        </r>
      </text>
    </comment>
    <comment ref="A171" authorId="0">
      <text>
        <r>
          <rPr>
            <b/>
            <sz val="9"/>
            <color indexed="81"/>
            <rFont val="Tahoma"/>
            <family val="2"/>
          </rPr>
          <t>NOTE: 
DO NOT MAKE ANY CHANGES TO THIS COLUMN</t>
        </r>
      </text>
    </comment>
    <comment ref="A172" authorId="0">
      <text>
        <r>
          <rPr>
            <b/>
            <sz val="9"/>
            <color indexed="81"/>
            <rFont val="Tahoma"/>
            <family val="2"/>
          </rPr>
          <t>NOTE: 
DO NOT MAKE ANY CHANGES TO THIS COLUMN</t>
        </r>
      </text>
    </comment>
    <comment ref="A173" authorId="0">
      <text>
        <r>
          <rPr>
            <b/>
            <sz val="9"/>
            <color indexed="81"/>
            <rFont val="Tahoma"/>
            <family val="2"/>
          </rPr>
          <t>NOTE: 
DO NOT MAKE ANY CHANGES TO THIS COLUMN</t>
        </r>
      </text>
    </comment>
    <comment ref="A174" authorId="0">
      <text>
        <r>
          <rPr>
            <b/>
            <sz val="9"/>
            <color indexed="81"/>
            <rFont val="Tahoma"/>
            <family val="2"/>
          </rPr>
          <t>NOTE: 
DO NOT MAKE ANY CHANGES TO THIS COLUMN</t>
        </r>
      </text>
    </comment>
    <comment ref="A175" authorId="0">
      <text>
        <r>
          <rPr>
            <b/>
            <sz val="9"/>
            <color indexed="81"/>
            <rFont val="Tahoma"/>
            <family val="2"/>
          </rPr>
          <t>NOTE: 
DO NOT MAKE ANY CHANGES TO THIS COLUMN</t>
        </r>
      </text>
    </comment>
    <comment ref="A176" authorId="0">
      <text>
        <r>
          <rPr>
            <b/>
            <sz val="9"/>
            <color indexed="81"/>
            <rFont val="Tahoma"/>
            <family val="2"/>
          </rPr>
          <t>NOTE: 
DO NOT MAKE ANY CHANGES TO THIS COLUMN</t>
        </r>
      </text>
    </comment>
    <comment ref="A177" authorId="0">
      <text>
        <r>
          <rPr>
            <b/>
            <sz val="9"/>
            <color indexed="81"/>
            <rFont val="Tahoma"/>
            <family val="2"/>
          </rPr>
          <t>NOTE: 
DO NOT MAKE ANY CHANGES TO THIS COLUMN</t>
        </r>
      </text>
    </comment>
    <comment ref="A178" authorId="0">
      <text>
        <r>
          <rPr>
            <b/>
            <sz val="9"/>
            <color indexed="81"/>
            <rFont val="Tahoma"/>
            <family val="2"/>
          </rPr>
          <t>NOTE: 
DO NOT MAKE ANY CHANGES TO THIS COLUMN</t>
        </r>
      </text>
    </comment>
    <comment ref="A179" authorId="0">
      <text>
        <r>
          <rPr>
            <b/>
            <sz val="9"/>
            <color indexed="81"/>
            <rFont val="Tahoma"/>
            <family val="2"/>
          </rPr>
          <t>NOTE: 
DO NOT MAKE ANY CHANGES TO THIS COLUMN</t>
        </r>
      </text>
    </comment>
    <comment ref="A180" authorId="0">
      <text>
        <r>
          <rPr>
            <b/>
            <sz val="9"/>
            <color indexed="81"/>
            <rFont val="Tahoma"/>
            <family val="2"/>
          </rPr>
          <t>NOTE: 
DO NOT MAKE ANY CHANGES TO THIS COLUMN</t>
        </r>
      </text>
    </comment>
    <comment ref="A181" authorId="0">
      <text>
        <r>
          <rPr>
            <b/>
            <sz val="9"/>
            <color indexed="81"/>
            <rFont val="Tahoma"/>
            <family val="2"/>
          </rPr>
          <t>NOTE: 
DO NOT MAKE ANY CHANGES TO THIS COLUMN</t>
        </r>
      </text>
    </comment>
    <comment ref="A182" authorId="0">
      <text>
        <r>
          <rPr>
            <b/>
            <sz val="9"/>
            <color indexed="81"/>
            <rFont val="Tahoma"/>
            <family val="2"/>
          </rPr>
          <t>NOTE: 
DO NOT MAKE ANY CHANGES TO THIS COLUMN</t>
        </r>
      </text>
    </comment>
    <comment ref="A183" authorId="0">
      <text>
        <r>
          <rPr>
            <b/>
            <sz val="9"/>
            <color indexed="81"/>
            <rFont val="Tahoma"/>
            <family val="2"/>
          </rPr>
          <t>NOTE: 
DO NOT MAKE ANY CHANGES TO THIS COLUMN</t>
        </r>
      </text>
    </comment>
    <comment ref="A184" authorId="0">
      <text>
        <r>
          <rPr>
            <b/>
            <sz val="9"/>
            <color indexed="81"/>
            <rFont val="Tahoma"/>
            <family val="2"/>
          </rPr>
          <t>NOTE: 
DO NOT MAKE ANY CHANGES TO THIS COLUMN</t>
        </r>
      </text>
    </comment>
    <comment ref="A185" authorId="0">
      <text>
        <r>
          <rPr>
            <b/>
            <sz val="9"/>
            <color indexed="81"/>
            <rFont val="Tahoma"/>
            <family val="2"/>
          </rPr>
          <t>NOTE: 
DO NOT MAKE ANY CHANGES TO THIS COLUMN</t>
        </r>
      </text>
    </comment>
    <comment ref="A186" authorId="0">
      <text>
        <r>
          <rPr>
            <b/>
            <sz val="9"/>
            <color indexed="81"/>
            <rFont val="Tahoma"/>
            <family val="2"/>
          </rPr>
          <t>NOTE: 
DO NOT MAKE ANY CHANGES TO THIS COLUMN</t>
        </r>
      </text>
    </comment>
    <comment ref="A187" authorId="0">
      <text>
        <r>
          <rPr>
            <b/>
            <sz val="9"/>
            <color indexed="81"/>
            <rFont val="Tahoma"/>
            <family val="2"/>
          </rPr>
          <t>NOTE: 
DO NOT MAKE ANY CHANGES TO THIS COLUMN</t>
        </r>
      </text>
    </comment>
    <comment ref="A188" authorId="0">
      <text>
        <r>
          <rPr>
            <b/>
            <sz val="9"/>
            <color indexed="81"/>
            <rFont val="Tahoma"/>
            <family val="2"/>
          </rPr>
          <t>NOTE: 
DO NOT MAKE ANY CHANGES TO THIS COLUMN</t>
        </r>
      </text>
    </comment>
    <comment ref="A189" authorId="0">
      <text>
        <r>
          <rPr>
            <b/>
            <sz val="9"/>
            <color indexed="81"/>
            <rFont val="Tahoma"/>
            <family val="2"/>
          </rPr>
          <t>NOTE: 
DO NOT MAKE ANY CHANGES TO THIS COLUMN</t>
        </r>
      </text>
    </comment>
    <comment ref="A190" authorId="0">
      <text>
        <r>
          <rPr>
            <b/>
            <sz val="9"/>
            <color indexed="81"/>
            <rFont val="Tahoma"/>
            <family val="2"/>
          </rPr>
          <t>NOTE: 
DO NOT MAKE ANY CHANGES TO THIS COLUMN</t>
        </r>
      </text>
    </comment>
    <comment ref="A191" authorId="0">
      <text>
        <r>
          <rPr>
            <b/>
            <sz val="9"/>
            <color indexed="81"/>
            <rFont val="Tahoma"/>
            <family val="2"/>
          </rPr>
          <t>NOTE: 
DO NOT MAKE ANY CHANGES TO THIS COLUMN</t>
        </r>
      </text>
    </comment>
    <comment ref="A192" authorId="0">
      <text>
        <r>
          <rPr>
            <b/>
            <sz val="9"/>
            <color indexed="81"/>
            <rFont val="Tahoma"/>
            <family val="2"/>
          </rPr>
          <t>NOTE: 
DO NOT MAKE ANY CHANGES TO THIS COLUMN</t>
        </r>
      </text>
    </comment>
    <comment ref="A193" authorId="0">
      <text>
        <r>
          <rPr>
            <b/>
            <sz val="9"/>
            <color indexed="81"/>
            <rFont val="Tahoma"/>
            <family val="2"/>
          </rPr>
          <t>NOTE: 
DO NOT MAKE ANY CHANGES TO THIS COLUMN</t>
        </r>
      </text>
    </comment>
    <comment ref="A194" authorId="0">
      <text>
        <r>
          <rPr>
            <b/>
            <sz val="9"/>
            <color indexed="81"/>
            <rFont val="Tahoma"/>
            <family val="2"/>
          </rPr>
          <t>NOTE: 
DO NOT MAKE ANY CHANGES TO THIS COLUMN</t>
        </r>
      </text>
    </comment>
    <comment ref="A195" authorId="0">
      <text>
        <r>
          <rPr>
            <b/>
            <sz val="9"/>
            <color indexed="81"/>
            <rFont val="Tahoma"/>
            <family val="2"/>
          </rPr>
          <t>NOTE: 
DO NOT MAKE ANY CHANGES TO THIS COLUMN</t>
        </r>
      </text>
    </comment>
    <comment ref="A196" authorId="0">
      <text>
        <r>
          <rPr>
            <b/>
            <sz val="9"/>
            <color indexed="81"/>
            <rFont val="Tahoma"/>
            <family val="2"/>
          </rPr>
          <t>NOTE: 
DO NOT MAKE ANY CHANGES TO THIS COLUMN</t>
        </r>
      </text>
    </comment>
    <comment ref="A197" authorId="0">
      <text>
        <r>
          <rPr>
            <b/>
            <sz val="9"/>
            <color indexed="81"/>
            <rFont val="Tahoma"/>
            <family val="2"/>
          </rPr>
          <t>NOTE: 
DO NOT MAKE ANY CHANGES TO THIS COLUMN</t>
        </r>
      </text>
    </comment>
    <comment ref="A198" authorId="0">
      <text>
        <r>
          <rPr>
            <b/>
            <sz val="9"/>
            <color indexed="81"/>
            <rFont val="Tahoma"/>
            <family val="2"/>
          </rPr>
          <t>NOTE: 
DO NOT MAKE ANY CHANGES TO THIS COLUMN</t>
        </r>
      </text>
    </comment>
    <comment ref="A199" authorId="0">
      <text>
        <r>
          <rPr>
            <b/>
            <sz val="9"/>
            <color indexed="81"/>
            <rFont val="Tahoma"/>
            <family val="2"/>
          </rPr>
          <t>NOTE: 
DO NOT MAKE ANY CHANGES TO THIS COLUMN</t>
        </r>
      </text>
    </comment>
    <comment ref="A200" authorId="0">
      <text>
        <r>
          <rPr>
            <b/>
            <sz val="9"/>
            <color indexed="81"/>
            <rFont val="Tahoma"/>
            <family val="2"/>
          </rPr>
          <t>NOTE: 
DO NOT MAKE ANY CHANGES TO THIS COLUMN</t>
        </r>
      </text>
    </comment>
    <comment ref="A201" authorId="0">
      <text>
        <r>
          <rPr>
            <b/>
            <sz val="9"/>
            <color indexed="81"/>
            <rFont val="Tahoma"/>
            <family val="2"/>
          </rPr>
          <t>NOTE: 
DO NOT MAKE ANY CHANGES TO THIS COLUMN</t>
        </r>
      </text>
    </comment>
    <comment ref="A202" authorId="0">
      <text>
        <r>
          <rPr>
            <b/>
            <sz val="9"/>
            <color indexed="81"/>
            <rFont val="Tahoma"/>
            <family val="2"/>
          </rPr>
          <t>NOTE: 
DO NOT MAKE ANY CHANGES TO THIS COLUMN</t>
        </r>
      </text>
    </comment>
    <comment ref="A203" authorId="0">
      <text>
        <r>
          <rPr>
            <b/>
            <sz val="9"/>
            <color indexed="81"/>
            <rFont val="Tahoma"/>
            <family val="2"/>
          </rPr>
          <t>NOTE: 
DO NOT MAKE ANY CHANGES TO THIS COLUMN</t>
        </r>
      </text>
    </comment>
    <comment ref="A204" authorId="0">
      <text>
        <r>
          <rPr>
            <b/>
            <sz val="9"/>
            <color indexed="81"/>
            <rFont val="Tahoma"/>
            <family val="2"/>
          </rPr>
          <t>NOTE: 
DO NOT MAKE ANY CHANGES TO THIS COLUMN</t>
        </r>
      </text>
    </comment>
    <comment ref="A205" authorId="0">
      <text>
        <r>
          <rPr>
            <b/>
            <sz val="9"/>
            <color indexed="81"/>
            <rFont val="Tahoma"/>
            <family val="2"/>
          </rPr>
          <t>NOTE: 
DO NOT MAKE ANY CHANGES TO THIS COLUMN</t>
        </r>
      </text>
    </comment>
    <comment ref="A206" authorId="0">
      <text>
        <r>
          <rPr>
            <b/>
            <sz val="9"/>
            <color indexed="81"/>
            <rFont val="Tahoma"/>
            <family val="2"/>
          </rPr>
          <t>NOTE: 
DO NOT MAKE ANY CHANGES TO THIS COLUMN</t>
        </r>
      </text>
    </comment>
    <comment ref="A207" authorId="0">
      <text>
        <r>
          <rPr>
            <b/>
            <sz val="9"/>
            <color indexed="81"/>
            <rFont val="Tahoma"/>
            <family val="2"/>
          </rPr>
          <t>NOTE: 
DO NOT MAKE ANY CHANGES TO THIS COLUMN</t>
        </r>
      </text>
    </comment>
    <comment ref="A208" authorId="0">
      <text>
        <r>
          <rPr>
            <b/>
            <sz val="9"/>
            <color indexed="81"/>
            <rFont val="Tahoma"/>
            <family val="2"/>
          </rPr>
          <t>NOTE: 
DO NOT MAKE ANY CHANGES TO THIS COLUMN</t>
        </r>
      </text>
    </comment>
    <comment ref="A209" authorId="0">
      <text>
        <r>
          <rPr>
            <b/>
            <sz val="9"/>
            <color indexed="81"/>
            <rFont val="Tahoma"/>
            <family val="2"/>
          </rPr>
          <t>NOTE: 
DO NOT MAKE ANY CHANGES TO THIS COLUMN</t>
        </r>
      </text>
    </comment>
    <comment ref="A210" authorId="0">
      <text>
        <r>
          <rPr>
            <b/>
            <sz val="9"/>
            <color indexed="81"/>
            <rFont val="Tahoma"/>
            <family val="2"/>
          </rPr>
          <t>NOTE: 
DO NOT MAKE ANY CHANGES TO THIS COLUMN</t>
        </r>
      </text>
    </comment>
    <comment ref="A211" authorId="0">
      <text>
        <r>
          <rPr>
            <b/>
            <sz val="9"/>
            <color indexed="81"/>
            <rFont val="Tahoma"/>
            <family val="2"/>
          </rPr>
          <t>NOTE: 
DO NOT MAKE ANY CHANGES TO THIS COLUMN</t>
        </r>
      </text>
    </comment>
    <comment ref="A212" authorId="0">
      <text>
        <r>
          <rPr>
            <b/>
            <sz val="9"/>
            <color indexed="81"/>
            <rFont val="Tahoma"/>
            <family val="2"/>
          </rPr>
          <t>NOTE: 
DO NOT MAKE ANY CHANGES TO THIS COLUMN</t>
        </r>
      </text>
    </comment>
    <comment ref="A213" authorId="0">
      <text>
        <r>
          <rPr>
            <b/>
            <sz val="9"/>
            <color indexed="81"/>
            <rFont val="Tahoma"/>
            <family val="2"/>
          </rPr>
          <t>NOTE: 
DO NOT MAKE ANY CHANGES TO THIS COLUMN</t>
        </r>
      </text>
    </comment>
    <comment ref="A214" authorId="0">
      <text>
        <r>
          <rPr>
            <b/>
            <sz val="9"/>
            <color indexed="81"/>
            <rFont val="Tahoma"/>
            <family val="2"/>
          </rPr>
          <t>NOTE: 
DO NOT MAKE ANY CHANGES TO THE LOOKUP NUMBER</t>
        </r>
      </text>
    </comment>
    <comment ref="A215" authorId="0">
      <text>
        <r>
          <rPr>
            <b/>
            <sz val="9"/>
            <color indexed="81"/>
            <rFont val="Tahoma"/>
            <family val="2"/>
          </rPr>
          <t>NOTE: 
DO NOT MAKE ANY CHANGES TO THE LOOKUP NUMBER</t>
        </r>
      </text>
    </comment>
    <comment ref="A216" authorId="0">
      <text>
        <r>
          <rPr>
            <b/>
            <sz val="9"/>
            <color indexed="81"/>
            <rFont val="Tahoma"/>
            <family val="2"/>
          </rPr>
          <t>NOTE: 
DO NOT MAKE ANY CHANGES TO THE LOOKUP NUMBER</t>
        </r>
      </text>
    </comment>
    <comment ref="A217" authorId="0">
      <text>
        <r>
          <rPr>
            <b/>
            <sz val="9"/>
            <color indexed="81"/>
            <rFont val="Tahoma"/>
            <family val="2"/>
          </rPr>
          <t>NOTE: 
DO NOT MAKE ANY CHANGES TO THE LOOKUP NUMBER</t>
        </r>
      </text>
    </comment>
    <comment ref="A218" authorId="0">
      <text>
        <r>
          <rPr>
            <b/>
            <sz val="9"/>
            <color indexed="81"/>
            <rFont val="Tahoma"/>
            <family val="2"/>
          </rPr>
          <t>NOTE: 
DO NOT MAKE ANY CHANGES TO THE LOOKUP NUMBER</t>
        </r>
      </text>
    </comment>
    <comment ref="A219" authorId="0">
      <text>
        <r>
          <rPr>
            <b/>
            <sz val="9"/>
            <color indexed="81"/>
            <rFont val="Tahoma"/>
            <family val="2"/>
          </rPr>
          <t>NOTE: 
DO NOT MAKE ANY CHANGES TO THE LOOKUP NUMBER</t>
        </r>
      </text>
    </comment>
    <comment ref="A220" authorId="0">
      <text>
        <r>
          <rPr>
            <b/>
            <sz val="9"/>
            <color indexed="81"/>
            <rFont val="Tahoma"/>
            <family val="2"/>
          </rPr>
          <t>NOTE: 
DO NOT MAKE ANY CHANGES TO THE LOOKUP NUMBER</t>
        </r>
      </text>
    </comment>
    <comment ref="A221" authorId="0">
      <text>
        <r>
          <rPr>
            <b/>
            <sz val="9"/>
            <color indexed="81"/>
            <rFont val="Tahoma"/>
            <family val="2"/>
          </rPr>
          <t>NOTE: 
DO NOT MAKE ANY CHANGES TO THE LOOKUP NUMBER</t>
        </r>
      </text>
    </comment>
    <comment ref="A222" authorId="0">
      <text>
        <r>
          <rPr>
            <b/>
            <sz val="9"/>
            <color indexed="81"/>
            <rFont val="Tahoma"/>
            <family val="2"/>
          </rPr>
          <t>NOTE: 
DO NOT MAKE ANY CHANGES TO THE LOOKUP NUMBER</t>
        </r>
      </text>
    </comment>
    <comment ref="A223" authorId="0">
      <text>
        <r>
          <rPr>
            <b/>
            <sz val="9"/>
            <color indexed="81"/>
            <rFont val="Tahoma"/>
            <family val="2"/>
          </rPr>
          <t>NOTE: 
DO NOT MAKE ANY CHANGES TO THE LOOKUP NUMBER</t>
        </r>
      </text>
    </comment>
    <comment ref="A224" authorId="0">
      <text>
        <r>
          <rPr>
            <b/>
            <sz val="9"/>
            <color indexed="81"/>
            <rFont val="Tahoma"/>
            <family val="2"/>
          </rPr>
          <t>NOTE: 
DO NOT MAKE ANY CHANGES TO THE LOOKUP NUMBER</t>
        </r>
      </text>
    </comment>
    <comment ref="A225" authorId="0">
      <text>
        <r>
          <rPr>
            <b/>
            <sz val="9"/>
            <color indexed="81"/>
            <rFont val="Tahoma"/>
            <family val="2"/>
          </rPr>
          <t>NOTE: 
DO NOT MAKE ANY CHANGES TO THE LOOKUP NUMBER</t>
        </r>
      </text>
    </comment>
    <comment ref="A226" authorId="0">
      <text>
        <r>
          <rPr>
            <b/>
            <sz val="9"/>
            <color indexed="81"/>
            <rFont val="Tahoma"/>
            <family val="2"/>
          </rPr>
          <t>NOTE: 
DO NOT MAKE ANY CHANGES TO THE LOOKUP NUMBER</t>
        </r>
      </text>
    </comment>
    <comment ref="A227" authorId="0">
      <text>
        <r>
          <rPr>
            <b/>
            <sz val="9"/>
            <color indexed="81"/>
            <rFont val="Tahoma"/>
            <family val="2"/>
          </rPr>
          <t>NOTE: 
DO NOT MAKE ANY CHANGES TO THE LOOKUP NUMBER</t>
        </r>
      </text>
    </comment>
    <comment ref="A228" authorId="0">
      <text>
        <r>
          <rPr>
            <b/>
            <sz val="9"/>
            <color indexed="81"/>
            <rFont val="Tahoma"/>
            <family val="2"/>
          </rPr>
          <t>NOTE: 
DO NOT MAKE ANY CHANGES TO THE LOOKUP NUMBER</t>
        </r>
      </text>
    </comment>
    <comment ref="A229" authorId="0">
      <text>
        <r>
          <rPr>
            <b/>
            <sz val="9"/>
            <color indexed="81"/>
            <rFont val="Tahoma"/>
            <family val="2"/>
          </rPr>
          <t>NOTE: 
DO NOT MAKE ANY CHANGES TO THE LOOKUP NUMBER</t>
        </r>
      </text>
    </comment>
    <comment ref="A230" authorId="0">
      <text>
        <r>
          <rPr>
            <b/>
            <sz val="9"/>
            <color indexed="81"/>
            <rFont val="Tahoma"/>
            <family val="2"/>
          </rPr>
          <t>NOTE: 
DO NOT MAKE ANY CHANGES TO THE LOOKUP NUMBER</t>
        </r>
      </text>
    </comment>
    <comment ref="A231" authorId="0">
      <text>
        <r>
          <rPr>
            <b/>
            <sz val="9"/>
            <color indexed="81"/>
            <rFont val="Tahoma"/>
            <family val="2"/>
          </rPr>
          <t>NOTE: 
DO NOT MAKE ANY CHANGES TO THE LOOKUP NUMBER</t>
        </r>
      </text>
    </comment>
    <comment ref="A232" authorId="0">
      <text>
        <r>
          <rPr>
            <b/>
            <sz val="9"/>
            <color indexed="81"/>
            <rFont val="Tahoma"/>
            <family val="2"/>
          </rPr>
          <t>NOTE: 
DO NOT MAKE ANY CHANGES TO THE LOOKUP NUMBER</t>
        </r>
      </text>
    </comment>
    <comment ref="A233" authorId="0">
      <text>
        <r>
          <rPr>
            <b/>
            <sz val="9"/>
            <color indexed="81"/>
            <rFont val="Tahoma"/>
            <family val="2"/>
          </rPr>
          <t>NOTE: 
DO NOT MAKE ANY CHANGES TO THE LOOKUP NUMBER</t>
        </r>
      </text>
    </comment>
    <comment ref="A234" authorId="0">
      <text>
        <r>
          <rPr>
            <b/>
            <sz val="9"/>
            <color indexed="81"/>
            <rFont val="Tahoma"/>
            <family val="2"/>
          </rPr>
          <t>NOTE: 
DO NOT MAKE ANY CHANGES TO THE LOOKUP NUMBER</t>
        </r>
      </text>
    </comment>
    <comment ref="A235" authorId="0">
      <text>
        <r>
          <rPr>
            <b/>
            <sz val="9"/>
            <color indexed="81"/>
            <rFont val="Tahoma"/>
            <family val="2"/>
          </rPr>
          <t>NOTE: 
DO NOT MAKE ANY CHANGES TO THE LOOKUP NUMBER</t>
        </r>
      </text>
    </comment>
    <comment ref="A236" authorId="0">
      <text>
        <r>
          <rPr>
            <b/>
            <sz val="9"/>
            <color indexed="81"/>
            <rFont val="Tahoma"/>
            <family val="2"/>
          </rPr>
          <t>NOTE: 
DO NOT MAKE ANY CHANGES TO THE LOOKUP NUMBER</t>
        </r>
      </text>
    </comment>
    <comment ref="A237" authorId="0">
      <text>
        <r>
          <rPr>
            <b/>
            <sz val="9"/>
            <color indexed="81"/>
            <rFont val="Tahoma"/>
            <family val="2"/>
          </rPr>
          <t>NOTE: 
DO NOT MAKE ANY CHANGES TO THE LOOKUP NUMBER</t>
        </r>
      </text>
    </comment>
    <comment ref="A238" authorId="0">
      <text>
        <r>
          <rPr>
            <b/>
            <sz val="9"/>
            <color indexed="81"/>
            <rFont val="Tahoma"/>
            <family val="2"/>
          </rPr>
          <t>NOTE: 
DO NOT MAKE ANY CHANGES TO THE LOOKUP NUMBER</t>
        </r>
      </text>
    </comment>
    <comment ref="A239" authorId="0">
      <text>
        <r>
          <rPr>
            <b/>
            <sz val="9"/>
            <color indexed="81"/>
            <rFont val="Tahoma"/>
            <family val="2"/>
          </rPr>
          <t>NOTE: 
DO NOT MAKE ANY CHANGES TO THE LOOKUP NUMBER</t>
        </r>
      </text>
    </comment>
    <comment ref="A240" authorId="0">
      <text>
        <r>
          <rPr>
            <b/>
            <sz val="9"/>
            <color indexed="81"/>
            <rFont val="Tahoma"/>
            <family val="2"/>
          </rPr>
          <t>NOTE: 
DO NOT MAKE ANY CHANGES TO THE LOOKUP NUMBER</t>
        </r>
      </text>
    </comment>
    <comment ref="A241" authorId="0">
      <text>
        <r>
          <rPr>
            <b/>
            <sz val="9"/>
            <color indexed="81"/>
            <rFont val="Tahoma"/>
            <family val="2"/>
          </rPr>
          <t>NOTE: 
DO NOT MAKE ANY CHANGES TO THE LOOKUP NUMBER</t>
        </r>
      </text>
    </comment>
    <comment ref="A242" authorId="0">
      <text>
        <r>
          <rPr>
            <b/>
            <sz val="9"/>
            <color indexed="81"/>
            <rFont val="Tahoma"/>
            <family val="2"/>
          </rPr>
          <t>NOTE: 
DO NOT MAKE ANY CHANGES TO THE LOOKUP NUMBER</t>
        </r>
      </text>
    </comment>
    <comment ref="A243" authorId="0">
      <text>
        <r>
          <rPr>
            <b/>
            <sz val="9"/>
            <color indexed="81"/>
            <rFont val="Tahoma"/>
            <family val="2"/>
          </rPr>
          <t>NOTE: 
DO NOT MAKE ANY CHANGES TO THE LOOKUP NUMBER</t>
        </r>
      </text>
    </comment>
    <comment ref="A244" authorId="0">
      <text>
        <r>
          <rPr>
            <b/>
            <sz val="9"/>
            <color indexed="81"/>
            <rFont val="Tahoma"/>
            <family val="2"/>
          </rPr>
          <t>NOTE: 
DO NOT MAKE ANY CHANGES TO THE LOOKUP NUMBER</t>
        </r>
      </text>
    </comment>
    <comment ref="A245" authorId="0">
      <text>
        <r>
          <rPr>
            <b/>
            <sz val="9"/>
            <color indexed="81"/>
            <rFont val="Tahoma"/>
            <family val="2"/>
          </rPr>
          <t>NOTE: 
DO NOT MAKE ANY CHANGES TO THE LOOKUP NUMBER</t>
        </r>
      </text>
    </comment>
    <comment ref="A246" authorId="0">
      <text>
        <r>
          <rPr>
            <b/>
            <sz val="9"/>
            <color indexed="81"/>
            <rFont val="Tahoma"/>
            <family val="2"/>
          </rPr>
          <t>NOTE: 
DO NOT MAKE ANY CHANGES TO THE LOOKUP NUMBER</t>
        </r>
      </text>
    </comment>
    <comment ref="A247" authorId="0">
      <text>
        <r>
          <rPr>
            <b/>
            <sz val="9"/>
            <color indexed="81"/>
            <rFont val="Tahoma"/>
            <family val="2"/>
          </rPr>
          <t>NOTE: 
DO NOT MAKE ANY CHANGES TO THE LOOKUP NUMBER</t>
        </r>
      </text>
    </comment>
    <comment ref="A248" authorId="0">
      <text>
        <r>
          <rPr>
            <b/>
            <sz val="9"/>
            <color indexed="81"/>
            <rFont val="Tahoma"/>
            <family val="2"/>
          </rPr>
          <t>NOTE: 
DO NOT MAKE ANY CHANGES TO THE LOOKUP NUMBER</t>
        </r>
      </text>
    </comment>
    <comment ref="A249" authorId="0">
      <text>
        <r>
          <rPr>
            <b/>
            <sz val="9"/>
            <color indexed="81"/>
            <rFont val="Tahoma"/>
            <family val="2"/>
          </rPr>
          <t>NOTE: 
DO NOT MAKE ANY CHANGES TO THE LOOKUP NUMBER</t>
        </r>
      </text>
    </comment>
    <comment ref="A250" authorId="0">
      <text>
        <r>
          <rPr>
            <b/>
            <sz val="9"/>
            <color indexed="81"/>
            <rFont val="Tahoma"/>
            <family val="2"/>
          </rPr>
          <t>NOTE: 
DO NOT MAKE ANY CHANGES TO THE LOOKUP NUMBER</t>
        </r>
      </text>
    </comment>
    <comment ref="A251" authorId="0">
      <text>
        <r>
          <rPr>
            <b/>
            <sz val="9"/>
            <color indexed="81"/>
            <rFont val="Tahoma"/>
            <family val="2"/>
          </rPr>
          <t>NOTE: 
DO NOT MAKE ANY CHANGES TO THE LOOKUP NUMBER</t>
        </r>
      </text>
    </comment>
    <comment ref="A252" authorId="0">
      <text>
        <r>
          <rPr>
            <b/>
            <sz val="9"/>
            <color indexed="81"/>
            <rFont val="Tahoma"/>
            <family val="2"/>
          </rPr>
          <t>NOTE: 
DO NOT MAKE ANY CHANGES TO THE LOOKUP NUMBER</t>
        </r>
      </text>
    </comment>
    <comment ref="A253" authorId="0">
      <text>
        <r>
          <rPr>
            <b/>
            <sz val="9"/>
            <color indexed="81"/>
            <rFont val="Tahoma"/>
            <family val="2"/>
          </rPr>
          <t>NOTE: 
DO NOT MAKE ANY CHANGES TO THE LOOKUP NUMBER</t>
        </r>
      </text>
    </comment>
    <comment ref="A254" authorId="0">
      <text>
        <r>
          <rPr>
            <b/>
            <sz val="9"/>
            <color indexed="81"/>
            <rFont val="Tahoma"/>
            <family val="2"/>
          </rPr>
          <t>NOTE: 
DO NOT MAKE ANY CHANGES TO THE LOOKUP NUMBER</t>
        </r>
      </text>
    </comment>
    <comment ref="A255" authorId="0">
      <text>
        <r>
          <rPr>
            <b/>
            <sz val="9"/>
            <color indexed="81"/>
            <rFont val="Tahoma"/>
            <family val="2"/>
          </rPr>
          <t>NOTE: 
DO NOT MAKE ANY CHANGES TO THE LOOKUP NUMBER</t>
        </r>
      </text>
    </comment>
    <comment ref="A256" authorId="0">
      <text>
        <r>
          <rPr>
            <b/>
            <sz val="9"/>
            <color indexed="81"/>
            <rFont val="Tahoma"/>
            <family val="2"/>
          </rPr>
          <t>NOTE: 
DO NOT MAKE ANY CHANGES TO THE LOOKUP NUMBER</t>
        </r>
      </text>
    </comment>
    <comment ref="A257" authorId="0">
      <text>
        <r>
          <rPr>
            <b/>
            <sz val="9"/>
            <color indexed="81"/>
            <rFont val="Tahoma"/>
            <family val="2"/>
          </rPr>
          <t>NOTE: 
DO NOT MAKE ANY CHANGES TO THE LOOKUP NUMBER</t>
        </r>
      </text>
    </comment>
    <comment ref="A258" authorId="0">
      <text>
        <r>
          <rPr>
            <b/>
            <sz val="9"/>
            <color indexed="81"/>
            <rFont val="Tahoma"/>
            <family val="2"/>
          </rPr>
          <t>NOTE: 
DO NOT MAKE ANY CHANGES TO THE LOOKUP NUMBER</t>
        </r>
      </text>
    </comment>
    <comment ref="A259" authorId="0">
      <text>
        <r>
          <rPr>
            <b/>
            <sz val="9"/>
            <color indexed="81"/>
            <rFont val="Tahoma"/>
            <family val="2"/>
          </rPr>
          <t>NOTE: 
DO NOT MAKE ANY CHANGES TO THE LOOKUP NUMBER</t>
        </r>
      </text>
    </comment>
    <comment ref="A260" authorId="0">
      <text>
        <r>
          <rPr>
            <b/>
            <sz val="9"/>
            <color indexed="81"/>
            <rFont val="Tahoma"/>
            <family val="2"/>
          </rPr>
          <t>NOTE: 
DO NOT MAKE ANY CHANGES TO THE LOOKUP NUMBER</t>
        </r>
      </text>
    </comment>
    <comment ref="A261" authorId="0">
      <text>
        <r>
          <rPr>
            <b/>
            <sz val="9"/>
            <color indexed="81"/>
            <rFont val="Tahoma"/>
            <family val="2"/>
          </rPr>
          <t>NOTE: 
DO NOT MAKE ANY CHANGES TO THE LOOKUP NUMBER</t>
        </r>
      </text>
    </comment>
    <comment ref="A262" authorId="0">
      <text>
        <r>
          <rPr>
            <b/>
            <sz val="9"/>
            <color indexed="81"/>
            <rFont val="Tahoma"/>
            <family val="2"/>
          </rPr>
          <t>NOTE: 
DO NOT MAKE ANY CHANGES TO THE LOOKUP NUMBER</t>
        </r>
      </text>
    </comment>
    <comment ref="A263" authorId="0">
      <text>
        <r>
          <rPr>
            <b/>
            <sz val="9"/>
            <color indexed="81"/>
            <rFont val="Tahoma"/>
            <family val="2"/>
          </rPr>
          <t>NOTE: 
DO NOT MAKE ANY CHANGES TO THE LOOKUP NUMBER</t>
        </r>
      </text>
    </comment>
    <comment ref="A264" authorId="0">
      <text>
        <r>
          <rPr>
            <b/>
            <sz val="9"/>
            <color indexed="81"/>
            <rFont val="Tahoma"/>
            <family val="2"/>
          </rPr>
          <t>NOTE: 
DO NOT MAKE ANY CHANGES TO THE LOOKUP NUMBER</t>
        </r>
      </text>
    </comment>
    <comment ref="A265" authorId="0">
      <text>
        <r>
          <rPr>
            <b/>
            <sz val="9"/>
            <color indexed="81"/>
            <rFont val="Tahoma"/>
            <family val="2"/>
          </rPr>
          <t>NOTE: 
DO NOT MAKE ANY CHANGES TO THE LOOKUP NUMBER</t>
        </r>
      </text>
    </comment>
    <comment ref="A266" authorId="0">
      <text>
        <r>
          <rPr>
            <b/>
            <sz val="9"/>
            <color indexed="81"/>
            <rFont val="Tahoma"/>
            <family val="2"/>
          </rPr>
          <t>NOTE: 
DO NOT MAKE ANY CHANGES TO THE LOOKUP NUMBER</t>
        </r>
      </text>
    </comment>
    <comment ref="A267" authorId="0">
      <text>
        <r>
          <rPr>
            <b/>
            <sz val="9"/>
            <color indexed="81"/>
            <rFont val="Tahoma"/>
            <family val="2"/>
          </rPr>
          <t>NOTE: 
DO NOT MAKE ANY CHANGES TO THE LOOKUP NUMBER</t>
        </r>
      </text>
    </comment>
    <comment ref="A268" authorId="0">
      <text>
        <r>
          <rPr>
            <b/>
            <sz val="9"/>
            <color indexed="81"/>
            <rFont val="Tahoma"/>
            <family val="2"/>
          </rPr>
          <t>NOTE: 
DO NOT MAKE ANY CHANGES TO THE LOOKUP NUMBER</t>
        </r>
      </text>
    </comment>
    <comment ref="A269" authorId="0">
      <text>
        <r>
          <rPr>
            <b/>
            <sz val="9"/>
            <color indexed="81"/>
            <rFont val="Tahoma"/>
            <family val="2"/>
          </rPr>
          <t>NOTE: 
DO NOT MAKE ANY CHANGES TO THE LOOKUP NUMBER</t>
        </r>
      </text>
    </comment>
    <comment ref="A270" authorId="0">
      <text>
        <r>
          <rPr>
            <b/>
            <sz val="9"/>
            <color indexed="81"/>
            <rFont val="Tahoma"/>
            <family val="2"/>
          </rPr>
          <t>NOTE: 
DO NOT MAKE ANY CHANGES TO THE LOOKUP NUMBER</t>
        </r>
      </text>
    </comment>
    <comment ref="A271" authorId="0">
      <text>
        <r>
          <rPr>
            <b/>
            <sz val="9"/>
            <color indexed="81"/>
            <rFont val="Tahoma"/>
            <family val="2"/>
          </rPr>
          <t>NOTE: 
DO NOT MAKE ANY CHANGES TO THE LOOKUP NUMBER</t>
        </r>
      </text>
    </comment>
    <comment ref="A272" authorId="0">
      <text>
        <r>
          <rPr>
            <b/>
            <sz val="9"/>
            <color indexed="81"/>
            <rFont val="Tahoma"/>
            <family val="2"/>
          </rPr>
          <t>NOTE: 
DO NOT MAKE ANY CHANGES TO THE LOOKUP NUMBER</t>
        </r>
      </text>
    </comment>
    <comment ref="A273" authorId="0">
      <text>
        <r>
          <rPr>
            <b/>
            <sz val="9"/>
            <color indexed="81"/>
            <rFont val="Tahoma"/>
            <family val="2"/>
          </rPr>
          <t>NOTE: 
DO NOT MAKE ANY CHANGES TO THE LOOKUP NUMBER</t>
        </r>
      </text>
    </comment>
    <comment ref="A274" authorId="0">
      <text>
        <r>
          <rPr>
            <b/>
            <sz val="9"/>
            <color indexed="81"/>
            <rFont val="Tahoma"/>
            <family val="2"/>
          </rPr>
          <t>NOTE: 
DO NOT MAKE ANY CHANGES TO THE LOOKUP NUMBER</t>
        </r>
      </text>
    </comment>
    <comment ref="A275" authorId="0">
      <text>
        <r>
          <rPr>
            <b/>
            <sz val="9"/>
            <color indexed="81"/>
            <rFont val="Tahoma"/>
            <family val="2"/>
          </rPr>
          <t>NOTE: 
DO NOT MAKE ANY CHANGES TO THE LOOKUP NUMBER</t>
        </r>
      </text>
    </comment>
    <comment ref="A276" authorId="0">
      <text>
        <r>
          <rPr>
            <b/>
            <sz val="9"/>
            <color indexed="81"/>
            <rFont val="Tahoma"/>
            <family val="2"/>
          </rPr>
          <t>NOTE: 
DO NOT MAKE ANY CHANGES TO THE LOOKUP NUMBER</t>
        </r>
      </text>
    </comment>
    <comment ref="A277" authorId="0">
      <text>
        <r>
          <rPr>
            <b/>
            <sz val="9"/>
            <color indexed="81"/>
            <rFont val="Tahoma"/>
            <family val="2"/>
          </rPr>
          <t>NOTE: 
DO NOT MAKE ANY CHANGES TO THE LOOKUP NUMBER</t>
        </r>
      </text>
    </comment>
    <comment ref="A278" authorId="0">
      <text>
        <r>
          <rPr>
            <b/>
            <sz val="9"/>
            <color indexed="81"/>
            <rFont val="Tahoma"/>
            <family val="2"/>
          </rPr>
          <t>NOTE: 
DO NOT MAKE ANY CHANGES TO THE LOOKUP NUMBER</t>
        </r>
      </text>
    </comment>
    <comment ref="A279" authorId="0">
      <text>
        <r>
          <rPr>
            <b/>
            <sz val="9"/>
            <color indexed="81"/>
            <rFont val="Tahoma"/>
            <family val="2"/>
          </rPr>
          <t>NOTE: 
DO NOT MAKE ANY CHANGES TO THE LOOKUP NUMBER</t>
        </r>
      </text>
    </comment>
    <comment ref="A280" authorId="0">
      <text>
        <r>
          <rPr>
            <b/>
            <sz val="9"/>
            <color indexed="81"/>
            <rFont val="Tahoma"/>
            <family val="2"/>
          </rPr>
          <t>NOTE: 
DO NOT MAKE ANY CHANGES TO THE LOOKUP NUMBER</t>
        </r>
      </text>
    </comment>
    <comment ref="A281" authorId="0">
      <text>
        <r>
          <rPr>
            <b/>
            <sz val="9"/>
            <color indexed="81"/>
            <rFont val="Tahoma"/>
            <family val="2"/>
          </rPr>
          <t>NOTE: 
DO NOT MAKE ANY CHANGES TO THE LOOKUP NUMBER</t>
        </r>
      </text>
    </comment>
    <comment ref="A282" authorId="0">
      <text>
        <r>
          <rPr>
            <b/>
            <sz val="9"/>
            <color indexed="81"/>
            <rFont val="Tahoma"/>
            <family val="2"/>
          </rPr>
          <t>NOTE: 
DO NOT MAKE ANY CHANGES TO THE LOOKUP NUMBER</t>
        </r>
      </text>
    </comment>
    <comment ref="A283" authorId="0">
      <text>
        <r>
          <rPr>
            <b/>
            <sz val="9"/>
            <color indexed="81"/>
            <rFont val="Tahoma"/>
            <family val="2"/>
          </rPr>
          <t>NOTE: 
DO NOT MAKE ANY CHANGES TO THE LOOKUP NUMBER</t>
        </r>
      </text>
    </comment>
    <comment ref="A284" authorId="0">
      <text>
        <r>
          <rPr>
            <b/>
            <sz val="9"/>
            <color indexed="81"/>
            <rFont val="Tahoma"/>
            <family val="2"/>
          </rPr>
          <t>NOTE: 
DO NOT MAKE ANY CHANGES TO THE LOOKUP NUMBER</t>
        </r>
      </text>
    </comment>
    <comment ref="A285" authorId="0">
      <text>
        <r>
          <rPr>
            <b/>
            <sz val="9"/>
            <color indexed="81"/>
            <rFont val="Tahoma"/>
            <family val="2"/>
          </rPr>
          <t>NOTE: 
DO NOT MAKE ANY CHANGES TO THE LOOKUP NUMBER</t>
        </r>
      </text>
    </comment>
    <comment ref="A286" authorId="0">
      <text>
        <r>
          <rPr>
            <b/>
            <sz val="9"/>
            <color indexed="81"/>
            <rFont val="Tahoma"/>
            <family val="2"/>
          </rPr>
          <t>NOTE: 
DO NOT MAKE ANY CHANGES TO THE LOOKUP NUMBER</t>
        </r>
      </text>
    </comment>
    <comment ref="A287" authorId="0">
      <text>
        <r>
          <rPr>
            <b/>
            <sz val="9"/>
            <color indexed="81"/>
            <rFont val="Tahoma"/>
            <family val="2"/>
          </rPr>
          <t>NOTE: 
DO NOT MAKE ANY CHANGES TO THE LOOKUP NUMBER</t>
        </r>
      </text>
    </comment>
    <comment ref="A288" authorId="0">
      <text>
        <r>
          <rPr>
            <b/>
            <sz val="9"/>
            <color indexed="81"/>
            <rFont val="Tahoma"/>
            <family val="2"/>
          </rPr>
          <t>NOTE: 
DO NOT MAKE ANY CHANGES TO THE LOOKUP NUMBER</t>
        </r>
      </text>
    </comment>
    <comment ref="A289" authorId="0">
      <text>
        <r>
          <rPr>
            <b/>
            <sz val="9"/>
            <color indexed="81"/>
            <rFont val="Tahoma"/>
            <family val="2"/>
          </rPr>
          <t>NOTE: 
DO NOT MAKE ANY CHANGES TO THE LOOKUP NUMBER</t>
        </r>
      </text>
    </comment>
    <comment ref="A290" authorId="0">
      <text>
        <r>
          <rPr>
            <b/>
            <sz val="9"/>
            <color indexed="81"/>
            <rFont val="Tahoma"/>
            <family val="2"/>
          </rPr>
          <t>NOTE: 
DO NOT MAKE ANY CHANGES TO THE LOOKUP NUMBER</t>
        </r>
      </text>
    </comment>
    <comment ref="A291" authorId="0">
      <text>
        <r>
          <rPr>
            <b/>
            <sz val="9"/>
            <color indexed="81"/>
            <rFont val="Tahoma"/>
            <family val="2"/>
          </rPr>
          <t>NOTE: 
DO NOT MAKE ANY CHANGES TO THE LOOKUP NUMBER</t>
        </r>
      </text>
    </comment>
    <comment ref="A292" authorId="0">
      <text>
        <r>
          <rPr>
            <b/>
            <sz val="9"/>
            <color indexed="81"/>
            <rFont val="Tahoma"/>
            <family val="2"/>
          </rPr>
          <t>NOTE: 
DO NOT MAKE ANY CHANGES TO THE LOOKUP NUMBER</t>
        </r>
      </text>
    </comment>
    <comment ref="A293" authorId="0">
      <text>
        <r>
          <rPr>
            <b/>
            <sz val="9"/>
            <color indexed="81"/>
            <rFont val="Tahoma"/>
            <family val="2"/>
          </rPr>
          <t>NOTE: 
DO NOT MAKE ANY CHANGES TO THE LOOKUP NUMBER</t>
        </r>
      </text>
    </comment>
    <comment ref="A294" authorId="0">
      <text>
        <r>
          <rPr>
            <b/>
            <sz val="9"/>
            <color indexed="81"/>
            <rFont val="Tahoma"/>
            <family val="2"/>
          </rPr>
          <t>NOTE: 
DO NOT MAKE ANY CHANGES TO THE LOOKUP NUMBER</t>
        </r>
      </text>
    </comment>
    <comment ref="A295" authorId="0">
      <text>
        <r>
          <rPr>
            <b/>
            <sz val="9"/>
            <color indexed="81"/>
            <rFont val="Tahoma"/>
            <family val="2"/>
          </rPr>
          <t>NOTE: 
DO NOT MAKE ANY CHANGES TO THE LOOKUP NUMBER</t>
        </r>
      </text>
    </comment>
    <comment ref="A296" authorId="0">
      <text>
        <r>
          <rPr>
            <b/>
            <sz val="9"/>
            <color indexed="81"/>
            <rFont val="Tahoma"/>
            <family val="2"/>
          </rPr>
          <t>NOTE: 
DO NOT MAKE ANY CHANGES TO THE LOOKUP NUMBER</t>
        </r>
      </text>
    </comment>
    <comment ref="A297" authorId="0">
      <text>
        <r>
          <rPr>
            <b/>
            <sz val="9"/>
            <color indexed="81"/>
            <rFont val="Tahoma"/>
            <family val="2"/>
          </rPr>
          <t>NOTE: 
DO NOT MAKE ANY CHANGES TO THE LOOKUP NUMBER</t>
        </r>
      </text>
    </comment>
    <comment ref="A298" authorId="0">
      <text>
        <r>
          <rPr>
            <b/>
            <sz val="9"/>
            <color indexed="81"/>
            <rFont val="Tahoma"/>
            <family val="2"/>
          </rPr>
          <t>NOTE: 
DO NOT MAKE ANY CHANGES TO THE LOOKUP NUMBER</t>
        </r>
      </text>
    </comment>
    <comment ref="A299" authorId="0">
      <text>
        <r>
          <rPr>
            <b/>
            <sz val="9"/>
            <color indexed="81"/>
            <rFont val="Tahoma"/>
            <family val="2"/>
          </rPr>
          <t>NOTE: 
DO NOT MAKE ANY CHANGES TO THE LOOKUP NUMBER</t>
        </r>
      </text>
    </comment>
    <comment ref="A300" authorId="0">
      <text>
        <r>
          <rPr>
            <b/>
            <sz val="9"/>
            <color indexed="81"/>
            <rFont val="Tahoma"/>
            <family val="2"/>
          </rPr>
          <t>NOTE: 
DO NOT MAKE ANY CHANGES TO THE LOOKUP NUMBER</t>
        </r>
      </text>
    </comment>
    <comment ref="A301" authorId="0">
      <text>
        <r>
          <rPr>
            <b/>
            <sz val="9"/>
            <color indexed="81"/>
            <rFont val="Tahoma"/>
            <family val="2"/>
          </rPr>
          <t>NOTE: 
DO NOT MAKE ANY CHANGES TO THE LOOKUP NUMBER</t>
        </r>
      </text>
    </comment>
    <comment ref="A302" authorId="0">
      <text>
        <r>
          <rPr>
            <b/>
            <sz val="9"/>
            <color indexed="81"/>
            <rFont val="Tahoma"/>
            <family val="2"/>
          </rPr>
          <t>NOTE: 
DO NOT MAKE ANY CHANGES TO THE LOOKUP NUMBER</t>
        </r>
      </text>
    </comment>
    <comment ref="A303" authorId="0">
      <text>
        <r>
          <rPr>
            <b/>
            <sz val="9"/>
            <color indexed="81"/>
            <rFont val="Tahoma"/>
            <family val="2"/>
          </rPr>
          <t>NOTE: 
DO NOT MAKE ANY CHANGES TO THE LOOKUP NUMBER</t>
        </r>
      </text>
    </comment>
    <comment ref="A304" authorId="0">
      <text>
        <r>
          <rPr>
            <b/>
            <sz val="9"/>
            <color indexed="81"/>
            <rFont val="Tahoma"/>
            <family val="2"/>
          </rPr>
          <t>NOTE: 
DO NOT MAKE ANY CHANGES TO THE LOOKUP NUMBER</t>
        </r>
      </text>
    </comment>
    <comment ref="A305" authorId="0">
      <text>
        <r>
          <rPr>
            <b/>
            <sz val="9"/>
            <color indexed="81"/>
            <rFont val="Tahoma"/>
            <family val="2"/>
          </rPr>
          <t>NOTE: 
DO NOT MAKE ANY CHANGES TO THE LOOKUP NUMBER</t>
        </r>
      </text>
    </comment>
    <comment ref="A306" authorId="0">
      <text>
        <r>
          <rPr>
            <b/>
            <sz val="9"/>
            <color indexed="81"/>
            <rFont val="Tahoma"/>
            <family val="2"/>
          </rPr>
          <t>NOTE: 
DO NOT MAKE ANY CHANGES TO THE LOOKUP NUMBER</t>
        </r>
      </text>
    </comment>
    <comment ref="A307" authorId="0">
      <text>
        <r>
          <rPr>
            <b/>
            <sz val="9"/>
            <color indexed="81"/>
            <rFont val="Tahoma"/>
            <family val="2"/>
          </rPr>
          <t>NOTE: 
DO NOT MAKE ANY CHANGES TO THE LOOKUP NUMBER</t>
        </r>
      </text>
    </comment>
    <comment ref="A308" authorId="0">
      <text>
        <r>
          <rPr>
            <b/>
            <sz val="9"/>
            <color indexed="81"/>
            <rFont val="Tahoma"/>
            <family val="2"/>
          </rPr>
          <t>NOTE: 
DO NOT MAKE ANY CHANGES TO THE LOOKUP NUMBER</t>
        </r>
      </text>
    </comment>
    <comment ref="A309" authorId="0">
      <text>
        <r>
          <rPr>
            <b/>
            <sz val="9"/>
            <color indexed="81"/>
            <rFont val="Tahoma"/>
            <family val="2"/>
          </rPr>
          <t>NOTE: 
DO NOT MAKE ANY CHANGES TO THE LOOKUP NUMBER</t>
        </r>
      </text>
    </comment>
    <comment ref="A310" authorId="0">
      <text>
        <r>
          <rPr>
            <b/>
            <sz val="9"/>
            <color indexed="81"/>
            <rFont val="Tahoma"/>
            <family val="2"/>
          </rPr>
          <t>NOTE: 
DO NOT MAKE ANY CHANGES TO THE LOOKUP NUMBER</t>
        </r>
      </text>
    </comment>
    <comment ref="A311" authorId="0">
      <text>
        <r>
          <rPr>
            <b/>
            <sz val="9"/>
            <color indexed="81"/>
            <rFont val="Tahoma"/>
            <family val="2"/>
          </rPr>
          <t>NOTE: 
DO NOT MAKE ANY CHANGES TO THE LOOKUP NUMBER</t>
        </r>
      </text>
    </comment>
    <comment ref="A312" authorId="0">
      <text>
        <r>
          <rPr>
            <b/>
            <sz val="9"/>
            <color indexed="81"/>
            <rFont val="Tahoma"/>
            <family val="2"/>
          </rPr>
          <t>NOTE: 
DO NOT MAKE ANY CHANGES TO THE LOOKUP NUMBER</t>
        </r>
      </text>
    </comment>
    <comment ref="A313" authorId="0">
      <text>
        <r>
          <rPr>
            <b/>
            <sz val="9"/>
            <color indexed="81"/>
            <rFont val="Tahoma"/>
            <family val="2"/>
          </rPr>
          <t>NOTE: 
DO NOT MAKE ANY CHANGES TO THE LOOKUP NUMBER</t>
        </r>
      </text>
    </comment>
    <comment ref="A314" authorId="0">
      <text>
        <r>
          <rPr>
            <b/>
            <sz val="9"/>
            <color indexed="81"/>
            <rFont val="Tahoma"/>
            <family val="2"/>
          </rPr>
          <t>NOTE: 
DO NOT MAKE ANY CHANGES TO THE LOOKUP NUMBER</t>
        </r>
      </text>
    </comment>
    <comment ref="A315" authorId="0">
      <text>
        <r>
          <rPr>
            <b/>
            <sz val="9"/>
            <color indexed="81"/>
            <rFont val="Tahoma"/>
            <family val="2"/>
          </rPr>
          <t>NOTE: 
DO NOT MAKE ANY CHANGES TO THE LOOKUP NUMBER</t>
        </r>
      </text>
    </comment>
    <comment ref="A316" authorId="0">
      <text>
        <r>
          <rPr>
            <b/>
            <sz val="9"/>
            <color indexed="81"/>
            <rFont val="Tahoma"/>
            <family val="2"/>
          </rPr>
          <t>NOTE: 
DO NOT MAKE ANY CHANGES TO THE LOOKUP NUMBER</t>
        </r>
      </text>
    </comment>
    <comment ref="A317" authorId="0">
      <text>
        <r>
          <rPr>
            <b/>
            <sz val="9"/>
            <color indexed="81"/>
            <rFont val="Tahoma"/>
            <family val="2"/>
          </rPr>
          <t>NOTE: 
DO NOT MAKE ANY CHANGES TO THE LOOKUP NUMBER</t>
        </r>
      </text>
    </comment>
    <comment ref="A318" authorId="0">
      <text>
        <r>
          <rPr>
            <b/>
            <sz val="9"/>
            <color indexed="81"/>
            <rFont val="Tahoma"/>
            <family val="2"/>
          </rPr>
          <t>NOTE: 
DO NOT MAKE ANY CHANGES TO THE LOOKUP NUMBER</t>
        </r>
      </text>
    </comment>
    <comment ref="A319" authorId="0">
      <text>
        <r>
          <rPr>
            <b/>
            <sz val="9"/>
            <color indexed="81"/>
            <rFont val="Tahoma"/>
            <family val="2"/>
          </rPr>
          <t>NOTE: 
DO NOT MAKE ANY CHANGES TO THE LOOKUP NUMBER</t>
        </r>
      </text>
    </comment>
    <comment ref="A320" authorId="0">
      <text>
        <r>
          <rPr>
            <b/>
            <sz val="9"/>
            <color indexed="81"/>
            <rFont val="Tahoma"/>
            <family val="2"/>
          </rPr>
          <t>NOTE: 
DO NOT MAKE ANY CHANGES TO THE LOOKUP NUMBER</t>
        </r>
      </text>
    </comment>
    <comment ref="A321" authorId="0">
      <text>
        <r>
          <rPr>
            <b/>
            <sz val="9"/>
            <color indexed="81"/>
            <rFont val="Tahoma"/>
            <family val="2"/>
          </rPr>
          <t>NOTE: 
DO NOT MAKE ANY CHANGES TO THE LOOKUP NUMBER</t>
        </r>
      </text>
    </comment>
    <comment ref="A322" authorId="0">
      <text>
        <r>
          <rPr>
            <b/>
            <sz val="9"/>
            <color indexed="81"/>
            <rFont val="Tahoma"/>
            <family val="2"/>
          </rPr>
          <t>NOTE: 
DO NOT MAKE ANY CHANGES TO THE LOOKUP NUMBER</t>
        </r>
      </text>
    </comment>
    <comment ref="A323" authorId="0">
      <text>
        <r>
          <rPr>
            <b/>
            <sz val="9"/>
            <color indexed="81"/>
            <rFont val="Tahoma"/>
            <family val="2"/>
          </rPr>
          <t>NOTE: 
DO NOT MAKE ANY CHANGES TO THE LOOKUP NUMBER</t>
        </r>
      </text>
    </comment>
    <comment ref="A324" authorId="0">
      <text>
        <r>
          <rPr>
            <b/>
            <sz val="9"/>
            <color indexed="81"/>
            <rFont val="Tahoma"/>
            <family val="2"/>
          </rPr>
          <t>NOTE: 
DO NOT MAKE ANY CHANGES TO THE LOOKUP NUMBER</t>
        </r>
      </text>
    </comment>
    <comment ref="A325" authorId="0">
      <text>
        <r>
          <rPr>
            <b/>
            <sz val="9"/>
            <color indexed="81"/>
            <rFont val="Tahoma"/>
            <family val="2"/>
          </rPr>
          <t>NOTE: 
DO NOT MAKE ANY CHANGES TO THE LOOKUP NUMBER</t>
        </r>
      </text>
    </comment>
    <comment ref="A326" authorId="0">
      <text>
        <r>
          <rPr>
            <b/>
            <sz val="9"/>
            <color indexed="81"/>
            <rFont val="Tahoma"/>
            <family val="2"/>
          </rPr>
          <t>NOTE: 
DO NOT MAKE ANY CHANGES TO THE LOOKUP NUMBER</t>
        </r>
      </text>
    </comment>
    <comment ref="A327" authorId="0">
      <text>
        <r>
          <rPr>
            <b/>
            <sz val="9"/>
            <color indexed="81"/>
            <rFont val="Tahoma"/>
            <family val="2"/>
          </rPr>
          <t>NOTE: 
DO NOT MAKE ANY CHANGES TO THE LOOKUP NUMBER</t>
        </r>
      </text>
    </comment>
    <comment ref="A328" authorId="0">
      <text>
        <r>
          <rPr>
            <b/>
            <sz val="9"/>
            <color indexed="81"/>
            <rFont val="Tahoma"/>
            <family val="2"/>
          </rPr>
          <t>NOTE: 
DO NOT MAKE ANY CHANGES TO THE LOOKUP NUMBER</t>
        </r>
      </text>
    </comment>
    <comment ref="A329" authorId="0">
      <text>
        <r>
          <rPr>
            <b/>
            <sz val="9"/>
            <color indexed="81"/>
            <rFont val="Tahoma"/>
            <family val="2"/>
          </rPr>
          <t>NOTE: 
DO NOT MAKE ANY CHANGES TO THE LOOKUP NUMBER</t>
        </r>
      </text>
    </comment>
    <comment ref="A330" authorId="0">
      <text>
        <r>
          <rPr>
            <b/>
            <sz val="9"/>
            <color indexed="81"/>
            <rFont val="Tahoma"/>
            <family val="2"/>
          </rPr>
          <t>NOTE: 
DO NOT MAKE ANY CHANGES TO THE LOOKUP NUMBER</t>
        </r>
      </text>
    </comment>
    <comment ref="A331" authorId="0">
      <text>
        <r>
          <rPr>
            <b/>
            <sz val="9"/>
            <color indexed="81"/>
            <rFont val="Tahoma"/>
            <family val="2"/>
          </rPr>
          <t>NOTE: 
DO NOT MAKE ANY CHANGES TO THE LOOKUP NUMBER</t>
        </r>
      </text>
    </comment>
    <comment ref="A332" authorId="0">
      <text>
        <r>
          <rPr>
            <b/>
            <sz val="9"/>
            <color indexed="81"/>
            <rFont val="Tahoma"/>
            <family val="2"/>
          </rPr>
          <t>NOTE: 
DO NOT MAKE ANY CHANGES TO THE LOOKUP NUMBER</t>
        </r>
      </text>
    </comment>
    <comment ref="A333" authorId="0">
      <text>
        <r>
          <rPr>
            <b/>
            <sz val="9"/>
            <color indexed="81"/>
            <rFont val="Tahoma"/>
            <family val="2"/>
          </rPr>
          <t>NOTE: 
DO NOT MAKE ANY CHANGES TO THE LOOKUP NUMBER</t>
        </r>
      </text>
    </comment>
    <comment ref="A334" authorId="0">
      <text>
        <r>
          <rPr>
            <b/>
            <sz val="9"/>
            <color indexed="81"/>
            <rFont val="Tahoma"/>
            <family val="2"/>
          </rPr>
          <t>NOTE: 
DO NOT MAKE ANY CHANGES TO THE LOOKUP NUMBER</t>
        </r>
      </text>
    </comment>
    <comment ref="A335" authorId="0">
      <text>
        <r>
          <rPr>
            <b/>
            <sz val="9"/>
            <color indexed="81"/>
            <rFont val="Tahoma"/>
            <family val="2"/>
          </rPr>
          <t>NOTE: 
DO NOT MAKE ANY CHANGES TO THE LOOKUP NUMBER</t>
        </r>
      </text>
    </comment>
    <comment ref="A336" authorId="0">
      <text>
        <r>
          <rPr>
            <b/>
            <sz val="9"/>
            <color indexed="81"/>
            <rFont val="Tahoma"/>
            <family val="2"/>
          </rPr>
          <t>NOTE: 
DO NOT MAKE ANY CHANGES TO THE LOOKUP NUMBER</t>
        </r>
      </text>
    </comment>
    <comment ref="A337" authorId="0">
      <text>
        <r>
          <rPr>
            <b/>
            <sz val="9"/>
            <color indexed="81"/>
            <rFont val="Tahoma"/>
            <family val="2"/>
          </rPr>
          <t>NOTE: 
DO NOT MAKE ANY CHANGES TO THE LOOKUP NUMBER</t>
        </r>
      </text>
    </comment>
    <comment ref="A338" authorId="0">
      <text>
        <r>
          <rPr>
            <b/>
            <sz val="9"/>
            <color indexed="81"/>
            <rFont val="Tahoma"/>
            <family val="2"/>
          </rPr>
          <t>NOTE: 
DO NOT MAKE ANY CHANGES TO THE LOOKUP NUMBER</t>
        </r>
      </text>
    </comment>
    <comment ref="A339" authorId="0">
      <text>
        <r>
          <rPr>
            <b/>
            <sz val="9"/>
            <color indexed="81"/>
            <rFont val="Tahoma"/>
            <family val="2"/>
          </rPr>
          <t>NOTE: 
DO NOT MAKE ANY CHANGES TO THE LOOKUP NUMBER</t>
        </r>
      </text>
    </comment>
    <comment ref="A340" authorId="0">
      <text>
        <r>
          <rPr>
            <b/>
            <sz val="9"/>
            <color indexed="81"/>
            <rFont val="Tahoma"/>
            <family val="2"/>
          </rPr>
          <t>NOTE: 
DO NOT MAKE ANY CHANGES TO THE LOOKUP NUMBER</t>
        </r>
      </text>
    </comment>
    <comment ref="A341" authorId="0">
      <text>
        <r>
          <rPr>
            <b/>
            <sz val="9"/>
            <color indexed="81"/>
            <rFont val="Tahoma"/>
            <family val="2"/>
          </rPr>
          <t>NOTE: 
DO NOT MAKE ANY CHANGES TO THE LOOKUP NUMBER</t>
        </r>
      </text>
    </comment>
    <comment ref="A342" authorId="0">
      <text>
        <r>
          <rPr>
            <b/>
            <sz val="9"/>
            <color indexed="81"/>
            <rFont val="Tahoma"/>
            <family val="2"/>
          </rPr>
          <t>NOTE: 
DO NOT MAKE ANY CHANGES TO THE LOOKUP NUMBER</t>
        </r>
      </text>
    </comment>
    <comment ref="A343" authorId="0">
      <text>
        <r>
          <rPr>
            <b/>
            <sz val="9"/>
            <color indexed="81"/>
            <rFont val="Tahoma"/>
            <family val="2"/>
          </rPr>
          <t>NOTE: 
DO NOT MAKE ANY CHANGES TO THE LOOKUP NUMBER</t>
        </r>
      </text>
    </comment>
    <comment ref="A344" authorId="0">
      <text>
        <r>
          <rPr>
            <b/>
            <sz val="9"/>
            <color indexed="81"/>
            <rFont val="Tahoma"/>
            <family val="2"/>
          </rPr>
          <t>NOTE: 
DO NOT MAKE ANY CHANGES TO THE LOOKUP NUMBER</t>
        </r>
      </text>
    </comment>
    <comment ref="A345" authorId="0">
      <text>
        <r>
          <rPr>
            <b/>
            <sz val="9"/>
            <color indexed="81"/>
            <rFont val="Tahoma"/>
            <family val="2"/>
          </rPr>
          <t>NOTE: 
DO NOT MAKE ANY CHANGES TO THE LOOKUP NUMBER</t>
        </r>
      </text>
    </comment>
    <comment ref="A346" authorId="0">
      <text>
        <r>
          <rPr>
            <b/>
            <sz val="9"/>
            <color indexed="81"/>
            <rFont val="Tahoma"/>
            <family val="2"/>
          </rPr>
          <t>NOTE: 
DO NOT MAKE ANY CHANGES TO THE LOOKUP NUMBER</t>
        </r>
      </text>
    </comment>
    <comment ref="A347" authorId="0">
      <text>
        <r>
          <rPr>
            <b/>
            <sz val="9"/>
            <color indexed="81"/>
            <rFont val="Tahoma"/>
            <family val="2"/>
          </rPr>
          <t>NOTE: 
DO NOT MAKE ANY CHANGES TO THE LOOKUP NUMBER</t>
        </r>
      </text>
    </comment>
    <comment ref="A348" authorId="0">
      <text>
        <r>
          <rPr>
            <b/>
            <sz val="9"/>
            <color indexed="81"/>
            <rFont val="Tahoma"/>
            <family val="2"/>
          </rPr>
          <t>NOTE: 
DO NOT MAKE ANY CHANGES TO THE LOOKUP NUMBER</t>
        </r>
      </text>
    </comment>
    <comment ref="A349" authorId="0">
      <text>
        <r>
          <rPr>
            <b/>
            <sz val="9"/>
            <color indexed="81"/>
            <rFont val="Tahoma"/>
            <family val="2"/>
          </rPr>
          <t>NOTE: 
DO NOT MAKE ANY CHANGES TO THE LOOKUP NUMBER</t>
        </r>
      </text>
    </comment>
    <comment ref="A350" authorId="0">
      <text>
        <r>
          <rPr>
            <b/>
            <sz val="9"/>
            <color indexed="81"/>
            <rFont val="Tahoma"/>
            <family val="2"/>
          </rPr>
          <t>NOTE: 
DO NOT MAKE ANY CHANGES TO THE LOOKUP NUMBER</t>
        </r>
      </text>
    </comment>
    <comment ref="A351" authorId="0">
      <text>
        <r>
          <rPr>
            <b/>
            <sz val="9"/>
            <color indexed="81"/>
            <rFont val="Tahoma"/>
            <family val="2"/>
          </rPr>
          <t>NOTE: 
DO NOT MAKE ANY CHANGES TO THE LOOKUP NUMBER</t>
        </r>
      </text>
    </comment>
    <comment ref="A352" authorId="0">
      <text>
        <r>
          <rPr>
            <b/>
            <sz val="9"/>
            <color indexed="81"/>
            <rFont val="Tahoma"/>
            <family val="2"/>
          </rPr>
          <t>NOTE: 
DO NOT MAKE ANY CHANGES TO THE LOOKUP NUMBER</t>
        </r>
      </text>
    </comment>
    <comment ref="A353" authorId="0">
      <text>
        <r>
          <rPr>
            <b/>
            <sz val="9"/>
            <color indexed="81"/>
            <rFont val="Tahoma"/>
            <family val="2"/>
          </rPr>
          <t>NOTE: 
DO NOT MAKE ANY CHANGES TO THE LOOKUP NUMBER</t>
        </r>
      </text>
    </comment>
    <comment ref="A354" authorId="0">
      <text>
        <r>
          <rPr>
            <b/>
            <sz val="9"/>
            <color indexed="81"/>
            <rFont val="Tahoma"/>
            <family val="2"/>
          </rPr>
          <t>NOTE: 
DO NOT MAKE ANY CHANGES TO THE LOOKUP NUMBER</t>
        </r>
      </text>
    </comment>
    <comment ref="A355" authorId="0">
      <text>
        <r>
          <rPr>
            <b/>
            <sz val="9"/>
            <color indexed="81"/>
            <rFont val="Tahoma"/>
            <family val="2"/>
          </rPr>
          <t>NOTE: 
DO NOT MAKE ANY CHANGES TO THE LOOKUP NUMBER</t>
        </r>
      </text>
    </comment>
    <comment ref="A356" authorId="0">
      <text>
        <r>
          <rPr>
            <b/>
            <sz val="9"/>
            <color indexed="81"/>
            <rFont val="Tahoma"/>
            <family val="2"/>
          </rPr>
          <t>NOTE: 
DO NOT MAKE ANY CHANGES TO THE LOOKUP NUMBER</t>
        </r>
      </text>
    </comment>
    <comment ref="A357" authorId="0">
      <text>
        <r>
          <rPr>
            <b/>
            <sz val="9"/>
            <color indexed="81"/>
            <rFont val="Tahoma"/>
            <family val="2"/>
          </rPr>
          <t>NOTE: 
DO NOT MAKE ANY CHANGES TO THE LOOKUP NUMBER</t>
        </r>
      </text>
    </comment>
    <comment ref="A358" authorId="0">
      <text>
        <r>
          <rPr>
            <b/>
            <sz val="9"/>
            <color indexed="81"/>
            <rFont val="Tahoma"/>
            <family val="2"/>
          </rPr>
          <t>NOTE: 
DO NOT MAKE ANY CHANGES TO THE LOOKUP NUMBER</t>
        </r>
      </text>
    </comment>
    <comment ref="A359" authorId="0">
      <text>
        <r>
          <rPr>
            <b/>
            <sz val="9"/>
            <color indexed="81"/>
            <rFont val="Tahoma"/>
            <family val="2"/>
          </rPr>
          <t>NOTE: 
DO NOT MAKE ANY CHANGES TO THE LOOKUP NUMBER</t>
        </r>
      </text>
    </comment>
    <comment ref="A360" authorId="0">
      <text>
        <r>
          <rPr>
            <b/>
            <sz val="9"/>
            <color indexed="81"/>
            <rFont val="Tahoma"/>
            <family val="2"/>
          </rPr>
          <t>NOTE: 
DO NOT MAKE ANY CHANGES TO THE LOOKUP NUMBER</t>
        </r>
      </text>
    </comment>
    <comment ref="A361" authorId="0">
      <text>
        <r>
          <rPr>
            <b/>
            <sz val="9"/>
            <color indexed="81"/>
            <rFont val="Tahoma"/>
            <family val="2"/>
          </rPr>
          <t>NOTE: 
DO NOT MAKE ANY CHANGES TO THE LOOKUP NUMBER</t>
        </r>
      </text>
    </comment>
    <comment ref="A362" authorId="0">
      <text>
        <r>
          <rPr>
            <b/>
            <sz val="9"/>
            <color indexed="81"/>
            <rFont val="Tahoma"/>
            <family val="2"/>
          </rPr>
          <t>NOTE: 
DO NOT MAKE ANY CHANGES TO THE LOOKUP NUMBER</t>
        </r>
      </text>
    </comment>
    <comment ref="A363" authorId="0">
      <text>
        <r>
          <rPr>
            <b/>
            <sz val="9"/>
            <color indexed="81"/>
            <rFont val="Tahoma"/>
            <family val="2"/>
          </rPr>
          <t>NOTE: 
DO NOT MAKE ANY CHANGES TO THE LOOKUP NUMBER</t>
        </r>
      </text>
    </comment>
    <comment ref="A364" authorId="0">
      <text>
        <r>
          <rPr>
            <b/>
            <sz val="9"/>
            <color indexed="81"/>
            <rFont val="Tahoma"/>
            <family val="2"/>
          </rPr>
          <t>NOTE: 
DO NOT MAKE ANY CHANGES TO THE LOOKUP NUMBER</t>
        </r>
      </text>
    </comment>
    <comment ref="A365" authorId="0">
      <text>
        <r>
          <rPr>
            <b/>
            <sz val="9"/>
            <color indexed="81"/>
            <rFont val="Tahoma"/>
            <family val="2"/>
          </rPr>
          <t>NOTE: 
DO NOT MAKE ANY CHANGES TO THE LOOKUP NUMBER</t>
        </r>
      </text>
    </comment>
    <comment ref="A366" authorId="0">
      <text>
        <r>
          <rPr>
            <b/>
            <sz val="9"/>
            <color indexed="81"/>
            <rFont val="Tahoma"/>
            <family val="2"/>
          </rPr>
          <t>NOTE: 
DO NOT MAKE ANY CHANGES TO THE LOOKUP NUMBER</t>
        </r>
      </text>
    </comment>
    <comment ref="A367" authorId="0">
      <text>
        <r>
          <rPr>
            <b/>
            <sz val="9"/>
            <color indexed="81"/>
            <rFont val="Tahoma"/>
            <family val="2"/>
          </rPr>
          <t>NOTE: 
DO NOT MAKE ANY CHANGES TO THE LOOKUP NUMBER</t>
        </r>
      </text>
    </comment>
    <comment ref="A368" authorId="0">
      <text>
        <r>
          <rPr>
            <b/>
            <sz val="9"/>
            <color indexed="81"/>
            <rFont val="Tahoma"/>
            <family val="2"/>
          </rPr>
          <t>NOTE: 
DO NOT MAKE ANY CHANGES TO THE LOOKUP NUMBER</t>
        </r>
      </text>
    </comment>
    <comment ref="A369" authorId="0">
      <text>
        <r>
          <rPr>
            <b/>
            <sz val="9"/>
            <color indexed="81"/>
            <rFont val="Tahoma"/>
            <family val="2"/>
          </rPr>
          <t>NOTE: 
DO NOT MAKE ANY CHANGES TO THE LOOKUP NUMBER</t>
        </r>
      </text>
    </comment>
    <comment ref="A370" authorId="0">
      <text>
        <r>
          <rPr>
            <b/>
            <sz val="9"/>
            <color indexed="81"/>
            <rFont val="Tahoma"/>
            <family val="2"/>
          </rPr>
          <t>NOTE: 
DO NOT MAKE ANY CHANGES TO THE LOOKUP NUMBER</t>
        </r>
      </text>
    </comment>
    <comment ref="A371" authorId="0">
      <text>
        <r>
          <rPr>
            <b/>
            <sz val="9"/>
            <color indexed="81"/>
            <rFont val="Tahoma"/>
            <family val="2"/>
          </rPr>
          <t>NOTE: 
DO NOT MAKE ANY CHANGES TO THE LOOKUP NUMBER</t>
        </r>
      </text>
    </comment>
    <comment ref="A372" authorId="0">
      <text>
        <r>
          <rPr>
            <b/>
            <sz val="9"/>
            <color indexed="81"/>
            <rFont val="Tahoma"/>
            <family val="2"/>
          </rPr>
          <t>NOTE: 
DO NOT MAKE ANY CHANGES TO THE LOOKUP NUMBER</t>
        </r>
      </text>
    </comment>
    <comment ref="A373" authorId="0">
      <text>
        <r>
          <rPr>
            <b/>
            <sz val="9"/>
            <color indexed="81"/>
            <rFont val="Tahoma"/>
            <family val="2"/>
          </rPr>
          <t>NOTE: 
DO NOT MAKE ANY CHANGES TO THE LOOKUP NUMBER</t>
        </r>
      </text>
    </comment>
    <comment ref="A374" authorId="0">
      <text>
        <r>
          <rPr>
            <b/>
            <sz val="9"/>
            <color indexed="81"/>
            <rFont val="Tahoma"/>
            <family val="2"/>
          </rPr>
          <t>NOTE: 
DO NOT MAKE ANY CHANGES TO THE LOOKUP NUMBER</t>
        </r>
      </text>
    </comment>
    <comment ref="A375" authorId="0">
      <text>
        <r>
          <rPr>
            <b/>
            <sz val="9"/>
            <color indexed="81"/>
            <rFont val="Tahoma"/>
            <family val="2"/>
          </rPr>
          <t>NOTE: 
DO NOT MAKE ANY CHANGES TO THE LOOKUP NUMBER</t>
        </r>
      </text>
    </comment>
    <comment ref="A376" authorId="0">
      <text>
        <r>
          <rPr>
            <b/>
            <sz val="9"/>
            <color indexed="81"/>
            <rFont val="Tahoma"/>
            <family val="2"/>
          </rPr>
          <t>NOTE: 
DO NOT MAKE ANY CHANGES TO THE LOOKUP NUMBER</t>
        </r>
      </text>
    </comment>
    <comment ref="A377" authorId="0">
      <text>
        <r>
          <rPr>
            <b/>
            <sz val="9"/>
            <color indexed="81"/>
            <rFont val="Tahoma"/>
            <family val="2"/>
          </rPr>
          <t>NOTE: 
DO NOT MAKE ANY CHANGES TO THE LOOKUP NUMBER</t>
        </r>
      </text>
    </comment>
    <comment ref="A378" authorId="0">
      <text>
        <r>
          <rPr>
            <b/>
            <sz val="9"/>
            <color indexed="81"/>
            <rFont val="Tahoma"/>
            <family val="2"/>
          </rPr>
          <t>NOTE: 
DO NOT MAKE ANY CHANGES TO THE LOOKUP NUMBER</t>
        </r>
      </text>
    </comment>
    <comment ref="A379" authorId="0">
      <text>
        <r>
          <rPr>
            <b/>
            <sz val="9"/>
            <color indexed="81"/>
            <rFont val="Tahoma"/>
            <family val="2"/>
          </rPr>
          <t>NOTE: 
DO NOT MAKE ANY CHANGES TO THE LOOKUP NUMBER</t>
        </r>
      </text>
    </comment>
    <comment ref="A380" authorId="0">
      <text>
        <r>
          <rPr>
            <b/>
            <sz val="9"/>
            <color indexed="81"/>
            <rFont val="Tahoma"/>
            <family val="2"/>
          </rPr>
          <t>NOTE: 
DO NOT MAKE ANY CHANGES TO THE LOOKUP NUMBER</t>
        </r>
      </text>
    </comment>
    <comment ref="A381" authorId="0">
      <text>
        <r>
          <rPr>
            <b/>
            <sz val="9"/>
            <color indexed="81"/>
            <rFont val="Tahoma"/>
            <family val="2"/>
          </rPr>
          <t>NOTE: 
DO NOT MAKE ANY CHANGES TO THE LOOKUP NUMBER</t>
        </r>
      </text>
    </comment>
    <comment ref="A382" authorId="0">
      <text>
        <r>
          <rPr>
            <b/>
            <sz val="9"/>
            <color indexed="81"/>
            <rFont val="Tahoma"/>
            <family val="2"/>
          </rPr>
          <t>NOTE: 
DO NOT MAKE ANY CHANGES TO THE LOOKUP NUMBER</t>
        </r>
      </text>
    </comment>
    <comment ref="A383" authorId="0">
      <text>
        <r>
          <rPr>
            <b/>
            <sz val="9"/>
            <color indexed="81"/>
            <rFont val="Tahoma"/>
            <family val="2"/>
          </rPr>
          <t>NOTE: 
DO NOT MAKE ANY CHANGES TO THE LOOKUP NUMBER</t>
        </r>
      </text>
    </comment>
    <comment ref="A384" authorId="0">
      <text>
        <r>
          <rPr>
            <b/>
            <sz val="9"/>
            <color indexed="81"/>
            <rFont val="Tahoma"/>
            <family val="2"/>
          </rPr>
          <t>NOTE: 
DO NOT MAKE ANY CHANGES TO THE LOOKUP NUMBER</t>
        </r>
      </text>
    </comment>
    <comment ref="A385" authorId="0">
      <text>
        <r>
          <rPr>
            <b/>
            <sz val="9"/>
            <color indexed="81"/>
            <rFont val="Tahoma"/>
            <family val="2"/>
          </rPr>
          <t>NOTE: 
DO NOT MAKE ANY CHANGES TO THE LOOKUP NUMBER</t>
        </r>
      </text>
    </comment>
    <comment ref="A386" authorId="0">
      <text>
        <r>
          <rPr>
            <b/>
            <sz val="9"/>
            <color indexed="81"/>
            <rFont val="Tahoma"/>
            <family val="2"/>
          </rPr>
          <t>NOTE: 
DO NOT MAKE ANY CHANGES TO THE LOOKUP NUMBER</t>
        </r>
      </text>
    </comment>
    <comment ref="A387" authorId="0">
      <text>
        <r>
          <rPr>
            <b/>
            <sz val="9"/>
            <color indexed="81"/>
            <rFont val="Tahoma"/>
            <family val="2"/>
          </rPr>
          <t>NOTE: 
DO NOT MAKE ANY CHANGES TO THE LOOKUP NUMBER</t>
        </r>
      </text>
    </comment>
    <comment ref="A388" authorId="0">
      <text>
        <r>
          <rPr>
            <b/>
            <sz val="9"/>
            <color indexed="81"/>
            <rFont val="Tahoma"/>
            <family val="2"/>
          </rPr>
          <t>NOTE: 
DO NOT MAKE ANY CHANGES TO THE LOOKUP NUMBER</t>
        </r>
      </text>
    </comment>
    <comment ref="A389" authorId="0">
      <text>
        <r>
          <rPr>
            <b/>
            <sz val="9"/>
            <color indexed="81"/>
            <rFont val="Tahoma"/>
            <family val="2"/>
          </rPr>
          <t>NOTE: 
DO NOT MAKE ANY CHANGES TO THE LOOKUP NUMBER</t>
        </r>
      </text>
    </comment>
    <comment ref="A390" authorId="0">
      <text>
        <r>
          <rPr>
            <b/>
            <sz val="9"/>
            <color indexed="81"/>
            <rFont val="Tahoma"/>
            <family val="2"/>
          </rPr>
          <t>NOTE: 
DO NOT MAKE ANY CHANGES TO THE LOOKUP NUMBER</t>
        </r>
      </text>
    </comment>
    <comment ref="A391" authorId="0">
      <text>
        <r>
          <rPr>
            <b/>
            <sz val="9"/>
            <color indexed="81"/>
            <rFont val="Tahoma"/>
            <family val="2"/>
          </rPr>
          <t>NOTE: 
DO NOT MAKE ANY CHANGES TO THE LOOKUP NUMBER</t>
        </r>
      </text>
    </comment>
    <comment ref="A392" authorId="0">
      <text>
        <r>
          <rPr>
            <b/>
            <sz val="9"/>
            <color indexed="81"/>
            <rFont val="Tahoma"/>
            <family val="2"/>
          </rPr>
          <t>NOTE: 
DO NOT MAKE ANY CHANGES TO THE LOOKUP NUMBER</t>
        </r>
      </text>
    </comment>
    <comment ref="A393" authorId="0">
      <text>
        <r>
          <rPr>
            <b/>
            <sz val="9"/>
            <color indexed="81"/>
            <rFont val="Tahoma"/>
            <family val="2"/>
          </rPr>
          <t>NOTE: 
DO NOT MAKE ANY CHANGES TO THE LOOKUP NUMBER</t>
        </r>
      </text>
    </comment>
    <comment ref="A394" authorId="0">
      <text>
        <r>
          <rPr>
            <b/>
            <sz val="9"/>
            <color indexed="81"/>
            <rFont val="Tahoma"/>
            <family val="2"/>
          </rPr>
          <t>NOTE: 
DO NOT MAKE ANY CHANGES TO THE LOOKUP NUMBER</t>
        </r>
      </text>
    </comment>
    <comment ref="A395" authorId="0">
      <text>
        <r>
          <rPr>
            <b/>
            <sz val="9"/>
            <color indexed="81"/>
            <rFont val="Tahoma"/>
            <family val="2"/>
          </rPr>
          <t>NOTE: 
DO NOT MAKE ANY CHANGES TO THE LOOKUP NUMBER</t>
        </r>
      </text>
    </comment>
    <comment ref="A396" authorId="0">
      <text>
        <r>
          <rPr>
            <b/>
            <sz val="9"/>
            <color indexed="81"/>
            <rFont val="Tahoma"/>
            <family val="2"/>
          </rPr>
          <t>NOTE: 
DO NOT MAKE ANY CHANGES TO THE LOOKUP NUMBER</t>
        </r>
      </text>
    </comment>
    <comment ref="A397" authorId="0">
      <text>
        <r>
          <rPr>
            <b/>
            <sz val="9"/>
            <color indexed="81"/>
            <rFont val="Tahoma"/>
            <family val="2"/>
          </rPr>
          <t>NOTE: 
DO NOT MAKE ANY CHANGES TO THE LOOKUP NUMBER</t>
        </r>
      </text>
    </comment>
    <comment ref="A398" authorId="0">
      <text>
        <r>
          <rPr>
            <b/>
            <sz val="9"/>
            <color indexed="81"/>
            <rFont val="Tahoma"/>
            <family val="2"/>
          </rPr>
          <t>NOTE: 
DO NOT MAKE ANY CHANGES TO THE LOOKUP NUMBER</t>
        </r>
      </text>
    </comment>
    <comment ref="A399" authorId="0">
      <text>
        <r>
          <rPr>
            <b/>
            <sz val="9"/>
            <color indexed="81"/>
            <rFont val="Tahoma"/>
            <family val="2"/>
          </rPr>
          <t>NOTE: 
DO NOT MAKE ANY CHANGES TO THE LOOKUP NUMBER</t>
        </r>
      </text>
    </comment>
    <comment ref="A400" authorId="0">
      <text>
        <r>
          <rPr>
            <b/>
            <sz val="9"/>
            <color indexed="81"/>
            <rFont val="Tahoma"/>
            <family val="2"/>
          </rPr>
          <t>NOTE: 
DO NOT MAKE ANY CHANGES TO THE LOOKUP NUMBER</t>
        </r>
      </text>
    </comment>
    <comment ref="A401" authorId="0">
      <text>
        <r>
          <rPr>
            <b/>
            <sz val="9"/>
            <color indexed="81"/>
            <rFont val="Tahoma"/>
            <family val="2"/>
          </rPr>
          <t>NOTE: 
DO NOT MAKE ANY CHANGES TO THE LOOKUP NUMBER</t>
        </r>
      </text>
    </comment>
    <comment ref="A402" authorId="0">
      <text>
        <r>
          <rPr>
            <b/>
            <sz val="9"/>
            <color indexed="81"/>
            <rFont val="Tahoma"/>
            <family val="2"/>
          </rPr>
          <t>NOTE: 
DO NOT MAKE ANY CHANGES TO THE LOOKUP NUMBER</t>
        </r>
      </text>
    </comment>
    <comment ref="A403" authorId="0">
      <text>
        <r>
          <rPr>
            <b/>
            <sz val="9"/>
            <color indexed="81"/>
            <rFont val="Tahoma"/>
            <family val="2"/>
          </rPr>
          <t>NOTE: 
DO NOT MAKE ANY CHANGES TO THE LOOKUP NUMBER</t>
        </r>
      </text>
    </comment>
    <comment ref="A404" authorId="0">
      <text>
        <r>
          <rPr>
            <b/>
            <sz val="9"/>
            <color indexed="81"/>
            <rFont val="Tahoma"/>
            <family val="2"/>
          </rPr>
          <t>NOTE: 
DO NOT MAKE ANY CHANGES TO THE LOOKUP NUMBER</t>
        </r>
      </text>
    </comment>
    <comment ref="A405" authorId="0">
      <text>
        <r>
          <rPr>
            <b/>
            <sz val="9"/>
            <color indexed="81"/>
            <rFont val="Tahoma"/>
            <family val="2"/>
          </rPr>
          <t>NOTE: 
DO NOT MAKE ANY CHANGES TO THE LOOKUP NUMBER</t>
        </r>
      </text>
    </comment>
    <comment ref="A406" authorId="0">
      <text>
        <r>
          <rPr>
            <b/>
            <sz val="9"/>
            <color indexed="81"/>
            <rFont val="Tahoma"/>
            <family val="2"/>
          </rPr>
          <t>NOTE: 
DO NOT MAKE ANY CHANGES TO THE LOOKUP NUMBER</t>
        </r>
      </text>
    </comment>
    <comment ref="A407" authorId="0">
      <text>
        <r>
          <rPr>
            <b/>
            <sz val="9"/>
            <color indexed="81"/>
            <rFont val="Tahoma"/>
            <family val="2"/>
          </rPr>
          <t>NOTE: 
DO NOT MAKE ANY CHANGES TO THE LOOKUP NUMBER</t>
        </r>
      </text>
    </comment>
    <comment ref="A408" authorId="0">
      <text>
        <r>
          <rPr>
            <b/>
            <sz val="9"/>
            <color indexed="81"/>
            <rFont val="Tahoma"/>
            <family val="2"/>
          </rPr>
          <t>NOTE: 
DO NOT MAKE ANY CHANGES TO THE LOOKUP NUMBER</t>
        </r>
      </text>
    </comment>
    <comment ref="A409" authorId="0">
      <text>
        <r>
          <rPr>
            <b/>
            <sz val="9"/>
            <color indexed="81"/>
            <rFont val="Tahoma"/>
            <family val="2"/>
          </rPr>
          <t>NOTE: 
DO NOT MAKE ANY CHANGES TO THE LOOKUP NUMBER</t>
        </r>
      </text>
    </comment>
    <comment ref="A410" authorId="0">
      <text>
        <r>
          <rPr>
            <b/>
            <sz val="9"/>
            <color indexed="81"/>
            <rFont val="Tahoma"/>
            <family val="2"/>
          </rPr>
          <t>NOTE: 
DO NOT MAKE ANY CHANGES TO THE LOOKUP NUMBER</t>
        </r>
      </text>
    </comment>
    <comment ref="A411" authorId="0">
      <text>
        <r>
          <rPr>
            <b/>
            <sz val="9"/>
            <color indexed="81"/>
            <rFont val="Tahoma"/>
            <family val="2"/>
          </rPr>
          <t>NOTE: 
DO NOT MAKE ANY CHANGES TO THE LOOKUP NUMBER</t>
        </r>
      </text>
    </comment>
  </commentList>
</comments>
</file>

<file path=xl/comments3.xml><?xml version="1.0" encoding="utf-8"?>
<comments xmlns="http://schemas.openxmlformats.org/spreadsheetml/2006/main">
  <authors>
    <author>Selva</author>
  </authors>
  <commentList>
    <comment ref="F2" authorId="0">
      <text>
        <r>
          <rPr>
            <b/>
            <sz val="9"/>
            <color indexed="81"/>
            <rFont val="Tahoma"/>
            <family val="2"/>
          </rPr>
          <t>DO NOT MAKE ANY CHANGES</t>
        </r>
      </text>
    </comment>
    <comment ref="G2" authorId="0">
      <text>
        <r>
          <rPr>
            <b/>
            <sz val="9"/>
            <color indexed="81"/>
            <rFont val="Tahoma"/>
            <family val="2"/>
          </rPr>
          <t>DO NOT MAKE ANY CHANGES</t>
        </r>
      </text>
    </comment>
    <comment ref="H2" authorId="0">
      <text>
        <r>
          <rPr>
            <b/>
            <sz val="9"/>
            <color indexed="81"/>
            <rFont val="Tahoma"/>
            <family val="2"/>
          </rPr>
          <t>DO NOT MAKE ANY CHANGES</t>
        </r>
      </text>
    </comment>
    <comment ref="F3" authorId="0">
      <text>
        <r>
          <rPr>
            <b/>
            <sz val="9"/>
            <color indexed="81"/>
            <rFont val="Tahoma"/>
            <family val="2"/>
          </rPr>
          <t>DO NOT MAKE ANY CHANGES</t>
        </r>
      </text>
    </comment>
    <comment ref="G3" authorId="0">
      <text>
        <r>
          <rPr>
            <b/>
            <sz val="9"/>
            <color indexed="81"/>
            <rFont val="Tahoma"/>
            <family val="2"/>
          </rPr>
          <t>DO NOT MAKE ANY CHANGES</t>
        </r>
      </text>
    </comment>
    <comment ref="H3" authorId="0">
      <text>
        <r>
          <rPr>
            <b/>
            <sz val="9"/>
            <color indexed="81"/>
            <rFont val="Tahoma"/>
            <family val="2"/>
          </rPr>
          <t>DO NOT MAKE ANY CHANGES</t>
        </r>
      </text>
    </comment>
    <comment ref="F4" authorId="0">
      <text>
        <r>
          <rPr>
            <b/>
            <sz val="9"/>
            <color indexed="81"/>
            <rFont val="Tahoma"/>
            <family val="2"/>
          </rPr>
          <t>DO NOT MAKE ANY CHANGES</t>
        </r>
      </text>
    </comment>
    <comment ref="G4" authorId="0">
      <text>
        <r>
          <rPr>
            <b/>
            <sz val="9"/>
            <color indexed="81"/>
            <rFont val="Tahoma"/>
            <family val="2"/>
          </rPr>
          <t>DO NOT MAKE ANY CHANGES</t>
        </r>
      </text>
    </comment>
    <comment ref="H4" authorId="0">
      <text>
        <r>
          <rPr>
            <b/>
            <sz val="9"/>
            <color indexed="81"/>
            <rFont val="Tahoma"/>
            <family val="2"/>
          </rPr>
          <t>DO NOT MAKE ANY CHANGES</t>
        </r>
      </text>
    </comment>
    <comment ref="F5" authorId="0">
      <text>
        <r>
          <rPr>
            <b/>
            <sz val="9"/>
            <color indexed="81"/>
            <rFont val="Tahoma"/>
            <family val="2"/>
          </rPr>
          <t>DO NOT MAKE ANY CHANGES</t>
        </r>
      </text>
    </comment>
    <comment ref="G5" authorId="0">
      <text>
        <r>
          <rPr>
            <b/>
            <sz val="9"/>
            <color indexed="81"/>
            <rFont val="Tahoma"/>
            <family val="2"/>
          </rPr>
          <t>DO NOT MAKE ANY CHANGES</t>
        </r>
      </text>
    </comment>
    <comment ref="H5" authorId="0">
      <text>
        <r>
          <rPr>
            <b/>
            <sz val="9"/>
            <color indexed="81"/>
            <rFont val="Tahoma"/>
            <family val="2"/>
          </rPr>
          <t>DO NOT MAKE ANY CHANGES</t>
        </r>
      </text>
    </comment>
    <comment ref="F6" authorId="0">
      <text>
        <r>
          <rPr>
            <b/>
            <sz val="9"/>
            <color indexed="81"/>
            <rFont val="Tahoma"/>
            <family val="2"/>
          </rPr>
          <t>DO NOT MAKE ANY CHANGES</t>
        </r>
      </text>
    </comment>
    <comment ref="G6" authorId="0">
      <text>
        <r>
          <rPr>
            <b/>
            <sz val="9"/>
            <color indexed="81"/>
            <rFont val="Tahoma"/>
            <family val="2"/>
          </rPr>
          <t>DO NOT MAKE ANY CHANGES</t>
        </r>
      </text>
    </comment>
    <comment ref="H6" authorId="0">
      <text>
        <r>
          <rPr>
            <b/>
            <sz val="9"/>
            <color indexed="81"/>
            <rFont val="Tahoma"/>
            <family val="2"/>
          </rPr>
          <t>DO NOT MAKE ANY CHANGES</t>
        </r>
      </text>
    </comment>
    <comment ref="F7" authorId="0">
      <text>
        <r>
          <rPr>
            <b/>
            <sz val="9"/>
            <color indexed="81"/>
            <rFont val="Tahoma"/>
            <family val="2"/>
          </rPr>
          <t>DO NOT MAKE ANY CHANGES</t>
        </r>
      </text>
    </comment>
    <comment ref="G7" authorId="0">
      <text>
        <r>
          <rPr>
            <b/>
            <sz val="9"/>
            <color indexed="81"/>
            <rFont val="Tahoma"/>
            <family val="2"/>
          </rPr>
          <t>DO NOT MAKE ANY CHANGES</t>
        </r>
      </text>
    </comment>
    <comment ref="H7" authorId="0">
      <text>
        <r>
          <rPr>
            <b/>
            <sz val="9"/>
            <color indexed="81"/>
            <rFont val="Tahoma"/>
            <family val="2"/>
          </rPr>
          <t>DO NOT MAKE ANY CHANGES</t>
        </r>
      </text>
    </comment>
    <comment ref="F8" authorId="0">
      <text>
        <r>
          <rPr>
            <b/>
            <sz val="9"/>
            <color indexed="81"/>
            <rFont val="Tahoma"/>
            <family val="2"/>
          </rPr>
          <t>DO NOT MAKE ANY CHANGES</t>
        </r>
      </text>
    </comment>
    <comment ref="G8" authorId="0">
      <text>
        <r>
          <rPr>
            <b/>
            <sz val="9"/>
            <color indexed="81"/>
            <rFont val="Tahoma"/>
            <family val="2"/>
          </rPr>
          <t>DO NOT MAKE ANY CHANGES</t>
        </r>
      </text>
    </comment>
    <comment ref="H8" authorId="0">
      <text>
        <r>
          <rPr>
            <b/>
            <sz val="9"/>
            <color indexed="81"/>
            <rFont val="Tahoma"/>
            <family val="2"/>
          </rPr>
          <t>DO NOT MAKE ANY CHANGES</t>
        </r>
      </text>
    </comment>
    <comment ref="F9" authorId="0">
      <text>
        <r>
          <rPr>
            <b/>
            <sz val="9"/>
            <color indexed="81"/>
            <rFont val="Tahoma"/>
            <family val="2"/>
          </rPr>
          <t>DO NOT MAKE ANY CHANGES</t>
        </r>
      </text>
    </comment>
    <comment ref="G9" authorId="0">
      <text>
        <r>
          <rPr>
            <b/>
            <sz val="9"/>
            <color indexed="81"/>
            <rFont val="Tahoma"/>
            <family val="2"/>
          </rPr>
          <t>DO NOT MAKE ANY CHANGES</t>
        </r>
      </text>
    </comment>
    <comment ref="H9" authorId="0">
      <text>
        <r>
          <rPr>
            <b/>
            <sz val="9"/>
            <color indexed="81"/>
            <rFont val="Tahoma"/>
            <family val="2"/>
          </rPr>
          <t>DO NOT MAKE ANY CHANGES</t>
        </r>
      </text>
    </comment>
    <comment ref="F10" authorId="0">
      <text>
        <r>
          <rPr>
            <b/>
            <sz val="9"/>
            <color indexed="81"/>
            <rFont val="Tahoma"/>
            <family val="2"/>
          </rPr>
          <t>DO NOT MAKE ANY CHANGES</t>
        </r>
      </text>
    </comment>
    <comment ref="G10" authorId="0">
      <text>
        <r>
          <rPr>
            <b/>
            <sz val="9"/>
            <color indexed="81"/>
            <rFont val="Tahoma"/>
            <family val="2"/>
          </rPr>
          <t>DO NOT MAKE ANY CHANGES</t>
        </r>
      </text>
    </comment>
    <comment ref="H10" authorId="0">
      <text>
        <r>
          <rPr>
            <b/>
            <sz val="9"/>
            <color indexed="81"/>
            <rFont val="Tahoma"/>
            <family val="2"/>
          </rPr>
          <t>DO NOT MAKE ANY CHANGES</t>
        </r>
      </text>
    </comment>
    <comment ref="F11" authorId="0">
      <text>
        <r>
          <rPr>
            <b/>
            <sz val="9"/>
            <color indexed="81"/>
            <rFont val="Tahoma"/>
            <family val="2"/>
          </rPr>
          <t>DO NOT MAKE ANY CHANGES</t>
        </r>
      </text>
    </comment>
    <comment ref="G11" authorId="0">
      <text>
        <r>
          <rPr>
            <b/>
            <sz val="9"/>
            <color indexed="81"/>
            <rFont val="Tahoma"/>
            <family val="2"/>
          </rPr>
          <t>DO NOT MAKE ANY CHANGES</t>
        </r>
      </text>
    </comment>
    <comment ref="H11" authorId="0">
      <text>
        <r>
          <rPr>
            <b/>
            <sz val="9"/>
            <color indexed="81"/>
            <rFont val="Tahoma"/>
            <family val="2"/>
          </rPr>
          <t>DO NOT MAKE ANY CHANGES</t>
        </r>
      </text>
    </comment>
    <comment ref="F12" authorId="0">
      <text>
        <r>
          <rPr>
            <b/>
            <sz val="9"/>
            <color indexed="81"/>
            <rFont val="Tahoma"/>
            <family val="2"/>
          </rPr>
          <t>DO NOT MAKE ANY CHANGES</t>
        </r>
      </text>
    </comment>
    <comment ref="G12" authorId="0">
      <text>
        <r>
          <rPr>
            <b/>
            <sz val="9"/>
            <color indexed="81"/>
            <rFont val="Tahoma"/>
            <family val="2"/>
          </rPr>
          <t>DO NOT MAKE ANY CHANGES</t>
        </r>
      </text>
    </comment>
    <comment ref="H12" authorId="0">
      <text>
        <r>
          <rPr>
            <b/>
            <sz val="9"/>
            <color indexed="81"/>
            <rFont val="Tahoma"/>
            <family val="2"/>
          </rPr>
          <t>DO NOT MAKE ANY CHANGES</t>
        </r>
      </text>
    </comment>
    <comment ref="F13" authorId="0">
      <text>
        <r>
          <rPr>
            <b/>
            <sz val="9"/>
            <color indexed="81"/>
            <rFont val="Tahoma"/>
            <family val="2"/>
          </rPr>
          <t>DO NOT MAKE ANY CHANGES</t>
        </r>
      </text>
    </comment>
    <comment ref="G13" authorId="0">
      <text>
        <r>
          <rPr>
            <b/>
            <sz val="9"/>
            <color indexed="81"/>
            <rFont val="Tahoma"/>
            <family val="2"/>
          </rPr>
          <t>DO NOT MAKE ANY CHANGES</t>
        </r>
      </text>
    </comment>
    <comment ref="H13" authorId="0">
      <text>
        <r>
          <rPr>
            <b/>
            <sz val="9"/>
            <color indexed="81"/>
            <rFont val="Tahoma"/>
            <family val="2"/>
          </rPr>
          <t>DO NOT MAKE ANY CHANGES</t>
        </r>
      </text>
    </comment>
    <comment ref="F14" authorId="0">
      <text>
        <r>
          <rPr>
            <b/>
            <sz val="9"/>
            <color indexed="81"/>
            <rFont val="Tahoma"/>
            <family val="2"/>
          </rPr>
          <t>DO NOT MAKE ANY CHANGES</t>
        </r>
      </text>
    </comment>
    <comment ref="G14" authorId="0">
      <text>
        <r>
          <rPr>
            <b/>
            <sz val="9"/>
            <color indexed="81"/>
            <rFont val="Tahoma"/>
            <family val="2"/>
          </rPr>
          <t>DO NOT MAKE ANY CHANGES</t>
        </r>
      </text>
    </comment>
    <comment ref="H14" authorId="0">
      <text>
        <r>
          <rPr>
            <b/>
            <sz val="9"/>
            <color indexed="81"/>
            <rFont val="Tahoma"/>
            <family val="2"/>
          </rPr>
          <t>DO NOT MAKE ANY CHANGES</t>
        </r>
      </text>
    </comment>
    <comment ref="F15" authorId="0">
      <text>
        <r>
          <rPr>
            <b/>
            <sz val="9"/>
            <color indexed="81"/>
            <rFont val="Tahoma"/>
            <family val="2"/>
          </rPr>
          <t>DO NOT MAKE ANY CHANGES</t>
        </r>
      </text>
    </comment>
    <comment ref="G15" authorId="0">
      <text>
        <r>
          <rPr>
            <b/>
            <sz val="9"/>
            <color indexed="81"/>
            <rFont val="Tahoma"/>
            <family val="2"/>
          </rPr>
          <t>DO NOT MAKE ANY CHANGES</t>
        </r>
      </text>
    </comment>
    <comment ref="H15" authorId="0">
      <text>
        <r>
          <rPr>
            <b/>
            <sz val="9"/>
            <color indexed="81"/>
            <rFont val="Tahoma"/>
            <family val="2"/>
          </rPr>
          <t>DO NOT MAKE ANY CHANGES</t>
        </r>
      </text>
    </comment>
    <comment ref="F16" authorId="0">
      <text>
        <r>
          <rPr>
            <b/>
            <sz val="9"/>
            <color indexed="81"/>
            <rFont val="Tahoma"/>
            <family val="2"/>
          </rPr>
          <t>DO NOT MAKE ANY CHANGES</t>
        </r>
      </text>
    </comment>
    <comment ref="G16" authorId="0">
      <text>
        <r>
          <rPr>
            <b/>
            <sz val="9"/>
            <color indexed="81"/>
            <rFont val="Tahoma"/>
            <family val="2"/>
          </rPr>
          <t>DO NOT MAKE ANY CHANGES</t>
        </r>
      </text>
    </comment>
    <comment ref="H16" authorId="0">
      <text>
        <r>
          <rPr>
            <b/>
            <sz val="9"/>
            <color indexed="81"/>
            <rFont val="Tahoma"/>
            <family val="2"/>
          </rPr>
          <t>DO NOT MAKE ANY CHANGES</t>
        </r>
      </text>
    </comment>
  </commentList>
</comments>
</file>

<file path=xl/sharedStrings.xml><?xml version="1.0" encoding="utf-8"?>
<sst xmlns="http://schemas.openxmlformats.org/spreadsheetml/2006/main" count="79" uniqueCount="75">
  <si>
    <t>DESCRIPTION OF GOODS</t>
  </si>
  <si>
    <t>HSN/SAC CODE</t>
  </si>
  <si>
    <t>RATE</t>
  </si>
  <si>
    <t>AMOUNT</t>
  </si>
  <si>
    <t>Transport &amp; Forwarding</t>
  </si>
  <si>
    <t>Total</t>
  </si>
  <si>
    <t>CONTACT NUMBER</t>
  </si>
  <si>
    <t>GST NO</t>
  </si>
  <si>
    <t>Address</t>
  </si>
  <si>
    <t>Name</t>
  </si>
  <si>
    <t>S.NO</t>
  </si>
  <si>
    <t>PRODUCT</t>
  </si>
  <si>
    <t>HSNCODE</t>
  </si>
  <si>
    <t>QTY</t>
  </si>
  <si>
    <t>timer</t>
  </si>
  <si>
    <t>waterindicator</t>
  </si>
  <si>
    <t xml:space="preserve">IGST      </t>
  </si>
  <si>
    <t xml:space="preserve">CGST </t>
  </si>
  <si>
    <t xml:space="preserve">SGST </t>
  </si>
  <si>
    <t xml:space="preserve">Grand Total :    </t>
  </si>
  <si>
    <t>Authorised Signatory</t>
  </si>
  <si>
    <t>33AMEPR4287J1ZO</t>
  </si>
  <si>
    <t>Buyer:</t>
  </si>
  <si>
    <t xml:space="preserve">Rounded off :    </t>
  </si>
  <si>
    <t>C-24 5th Cross East Street,                                   Metha nagar,Kundrathur,                                                      Chennai-600069.</t>
  </si>
  <si>
    <t>TERMS AND CONDITIONS</t>
  </si>
  <si>
    <t xml:space="preserve"> BANK DETAILS                                                      </t>
  </si>
  <si>
    <t xml:space="preserve"> TAX INVOICE</t>
  </si>
  <si>
    <t>lookup.No</t>
  </si>
  <si>
    <t>INSTRUCTIONS</t>
  </si>
  <si>
    <t>FEATURES</t>
  </si>
  <si>
    <t>DEVELOPER</t>
  </si>
  <si>
    <t xml:space="preserve">
  NOTE:     1. Do not try to share the file  to third party.
                  2. For  similar products contact developer 
</t>
  </si>
  <si>
    <r>
      <t xml:space="preserve"> CONTACT    :  </t>
    </r>
    <r>
      <rPr>
        <sz val="12"/>
        <color theme="1"/>
        <rFont val="Calibri"/>
        <family val="2"/>
        <scheme val="minor"/>
      </rPr>
      <t>7010210020 ,  9551783347</t>
    </r>
    <r>
      <rPr>
        <b/>
        <sz val="12"/>
        <color theme="1"/>
        <rFont val="Calibri"/>
        <family val="2"/>
        <scheme val="minor"/>
      </rPr>
      <t xml:space="preserve"> 
 EMAIL         :  </t>
    </r>
    <r>
      <rPr>
        <sz val="12"/>
        <color theme="1"/>
        <rFont val="Calibri"/>
        <family val="2"/>
        <scheme val="minor"/>
      </rPr>
      <t xml:space="preserve"> logic_instruments@yahoo.in 
                         s.logeshkarthik@gmail.com </t>
    </r>
    <r>
      <rPr>
        <b/>
        <sz val="12"/>
        <color theme="1"/>
        <rFont val="Calibri"/>
        <family val="2"/>
        <scheme val="minor"/>
      </rPr>
      <t xml:space="preserve">
</t>
    </r>
  </si>
  <si>
    <t xml:space="preserve"> 1.Payment cash on delivery/documents through bank</t>
  </si>
  <si>
    <t xml:space="preserve"> 2.Goods once sold cannot be taken back on any A/C</t>
  </si>
  <si>
    <t xml:space="preserve"> 3.Interest will be charged at 18% P.A. on unpaid bills      E.&amp;O.E.</t>
  </si>
  <si>
    <t>CUSTOMER</t>
  </si>
  <si>
    <t>DATE</t>
  </si>
  <si>
    <t>TAP HERE TO KNOW HOW TO USE</t>
  </si>
  <si>
    <r>
      <rPr>
        <b/>
        <sz val="12"/>
        <color theme="1"/>
        <rFont val="Calibri"/>
        <family val="2"/>
        <scheme val="minor"/>
      </rPr>
      <t xml:space="preserve"> Invoice No </t>
    </r>
    <r>
      <rPr>
        <sz val="12"/>
        <color theme="1"/>
        <rFont val="Calibri"/>
        <family val="2"/>
        <scheme val="minor"/>
      </rPr>
      <t xml:space="preserve">        :</t>
    </r>
  </si>
  <si>
    <t xml:space="preserve"> Invoice Date      :</t>
  </si>
  <si>
    <t xml:space="preserve"> P. Order No       :   </t>
  </si>
  <si>
    <t xml:space="preserve"> P. Order Date   : </t>
  </si>
  <si>
    <t xml:space="preserve"> D.C No               :</t>
  </si>
  <si>
    <t xml:space="preserve">testing testing testing testing testing testing testing testing testing testing testing testing  </t>
  </si>
  <si>
    <t>testing testing testing testing testing testing testing testing testing testing testing testing testing testing testing testing testing testing testing testing testing testing testing testing</t>
  </si>
  <si>
    <t>ADD TO REPORT BEFORE SAVING TO EXCEL</t>
  </si>
  <si>
    <t>example product 1</t>
  </si>
  <si>
    <r>
      <t xml:space="preserve">      </t>
    </r>
    <r>
      <rPr>
        <b/>
        <sz val="20"/>
        <color theme="1"/>
        <rFont val="Arial Black"/>
        <family val="2"/>
      </rPr>
      <t xml:space="preserve"> </t>
    </r>
    <r>
      <rPr>
        <b/>
        <sz val="20"/>
        <color theme="1"/>
        <rFont val="Times New Roman"/>
        <family val="1"/>
      </rPr>
      <t xml:space="preserve"> LOGIC INSTRUMENTS</t>
    </r>
  </si>
  <si>
    <t xml:space="preserve">                 No.154, First Floor, 3rd Cross Street, 9th Link Road,</t>
  </si>
  <si>
    <t xml:space="preserve">                   Nehru Nagar, Kottivakkam,Chennai- 600 041.</t>
  </si>
  <si>
    <t>Email: logic_instruments@yahoo.in / Web: www.logicinstruments.in</t>
  </si>
  <si>
    <t>Cell: 9444317578, 7010210020, 9080188929</t>
  </si>
  <si>
    <t>GST NO : 33BRCPK0817M1ZW</t>
  </si>
  <si>
    <t>For LOGIC INSTRUMENTS</t>
  </si>
  <si>
    <t xml:space="preserve"> A/C No.  : 60331010005466</t>
  </si>
  <si>
    <t xml:space="preserve"> Bank       : Syndicate</t>
  </si>
  <si>
    <r>
      <rPr>
        <b/>
        <sz val="11"/>
        <rFont val="Calibri"/>
        <family val="2"/>
        <scheme val="minor"/>
      </rPr>
      <t xml:space="preserve"> Branch   : Velachery</t>
    </r>
    <r>
      <rPr>
        <b/>
        <sz val="11"/>
        <color rgb="FFFF0000"/>
        <rFont val="Calibri"/>
        <family val="2"/>
        <scheme val="minor"/>
      </rPr>
      <t xml:space="preserve">   </t>
    </r>
  </si>
  <si>
    <r>
      <rPr>
        <b/>
        <sz val="11"/>
        <rFont val="Calibri"/>
        <family val="2"/>
        <scheme val="minor"/>
      </rPr>
      <t xml:space="preserve"> IFSC</t>
    </r>
    <r>
      <rPr>
        <b/>
        <sz val="11"/>
        <color rgb="FFFF0000"/>
        <rFont val="Calibri"/>
        <family val="2"/>
        <scheme val="minor"/>
      </rPr>
      <t xml:space="preserve">        </t>
    </r>
    <r>
      <rPr>
        <b/>
        <sz val="11"/>
        <rFont val="Calibri"/>
        <family val="2"/>
        <scheme val="minor"/>
      </rPr>
      <t>: SYNB0006033</t>
    </r>
    <r>
      <rPr>
        <b/>
        <sz val="11"/>
        <color rgb="FFFF0000"/>
        <rFont val="Calibri"/>
        <family val="2"/>
        <scheme val="minor"/>
      </rPr>
      <t xml:space="preserve">                              </t>
    </r>
    <r>
      <rPr>
        <b/>
        <sz val="11"/>
        <rFont val="Calibri"/>
        <family val="2"/>
        <scheme val="minor"/>
      </rPr>
      <t xml:space="preserve"> Customer's Seal and Signature</t>
    </r>
  </si>
  <si>
    <t>LOCATION:                                                       Local Disk (C:)-&gt; logesh bill</t>
  </si>
  <si>
    <t xml:space="preserve">1. Create a folder named newtech in the  local disk C with the path (C:\logesh bill\).
2. Fill the customers  sheet with your customer’s information  and products sheet with your product details.
3. After pressing CLEAR DATA button the bill is cleared and invoice number is incremented.
4. Press ADD TO REPORT button to save your bill details for further reference.  
5. Fill the necessary fields ,Enter the quantity and then press enter to automatically calculate the rate, Enter the transport and forwarding  and IGST if needed.
6.  Check the  invoice and press the SAVE FILE IN EXCEL  button .( the newly saved billl can be editted in future )
7.  The saved file can be viewed in local disc(C:)-&gt;logesh bill.
</t>
  </si>
  <si>
    <t xml:space="preserve">1. Each invoice after exporting records the sales information in the sales report sheet .
2. Automatic information filling and calculations are done.
3. PDF conversion is done with  a single button tap.
4. PDF copies  of your bill is stored in the location : local disk C -&gt; logesh bill.
5. Customers  and products  information are maintained in separate sheets.
</t>
  </si>
  <si>
    <t>LABTHERM SCIENTIFIC PRODUCTS</t>
  </si>
  <si>
    <t>HOD Civil Engineering</t>
  </si>
  <si>
    <t>AMOUNT WITHOUT GST</t>
  </si>
  <si>
    <t>INVOICE NO</t>
  </si>
  <si>
    <t>GST</t>
  </si>
  <si>
    <t>CGST-9%</t>
  </si>
  <si>
    <t>SGST-9%</t>
  </si>
  <si>
    <t>IGST-18%</t>
  </si>
  <si>
    <t>TOTAL</t>
  </si>
  <si>
    <t>EMPTY THE INVOICE</t>
  </si>
  <si>
    <t>Party.Gst No:   33AAAAI3615G1Z6</t>
  </si>
  <si>
    <t>Party.Gst No:   33AMEPR4287J1ZO</t>
  </si>
</sst>
</file>

<file path=xl/styles.xml><?xml version="1.0" encoding="utf-8"?>
<styleSheet xmlns="http://schemas.openxmlformats.org/spreadsheetml/2006/main">
  <numFmts count="1">
    <numFmt numFmtId="164" formatCode="dd/mm/yyyy;@"/>
  </numFmts>
  <fonts count="40">
    <font>
      <sz val="11"/>
      <color theme="1"/>
      <name val="Calibri"/>
      <family val="2"/>
      <scheme val="minor"/>
    </font>
    <font>
      <sz val="11"/>
      <color rgb="FFFF0000"/>
      <name val="Calibri"/>
      <family val="2"/>
      <scheme val="minor"/>
    </font>
    <font>
      <b/>
      <sz val="11"/>
      <color theme="1"/>
      <name val="Calibri"/>
      <family val="2"/>
      <scheme val="minor"/>
    </font>
    <font>
      <sz val="12"/>
      <color theme="1"/>
      <name val="Calibri"/>
      <family val="2"/>
      <scheme val="minor"/>
    </font>
    <font>
      <b/>
      <sz val="12"/>
      <color theme="1"/>
      <name val="Calibri"/>
      <family val="2"/>
      <scheme val="minor"/>
    </font>
    <font>
      <sz val="8"/>
      <color theme="1"/>
      <name val="Calibri"/>
      <family val="2"/>
      <scheme val="minor"/>
    </font>
    <font>
      <sz val="14"/>
      <color theme="1"/>
      <name val="Calibri"/>
      <family val="2"/>
      <scheme val="minor"/>
    </font>
    <font>
      <sz val="11"/>
      <name val="Calibri"/>
      <family val="2"/>
      <scheme val="minor"/>
    </font>
    <font>
      <b/>
      <sz val="14"/>
      <color theme="1"/>
      <name val="Calibri"/>
      <family val="2"/>
      <scheme val="minor"/>
    </font>
    <font>
      <b/>
      <sz val="11"/>
      <name val="Calibri"/>
      <family val="2"/>
      <scheme val="minor"/>
    </font>
    <font>
      <b/>
      <sz val="11"/>
      <color rgb="FFFF0000"/>
      <name val="Calibri"/>
      <family val="2"/>
      <scheme val="minor"/>
    </font>
    <font>
      <sz val="11"/>
      <color rgb="FFFF0000"/>
      <name val="Calibri"/>
      <family val="2"/>
    </font>
    <font>
      <sz val="12"/>
      <name val="Calibri"/>
      <family val="2"/>
      <scheme val="minor"/>
    </font>
    <font>
      <sz val="14"/>
      <color theme="1"/>
      <name val="Calibri"/>
      <family val="2"/>
      <scheme val="minor"/>
    </font>
    <font>
      <sz val="11"/>
      <color rgb="FF424242"/>
      <name val="Arial"/>
      <family val="2"/>
    </font>
    <font>
      <sz val="11"/>
      <color rgb="FF616262"/>
      <name val="Arial"/>
      <family val="2"/>
    </font>
    <font>
      <sz val="12"/>
      <color theme="1"/>
      <name val="Segoe UI"/>
      <family val="2"/>
    </font>
    <font>
      <sz val="11"/>
      <color rgb="FF212121"/>
      <name val="Verdana"/>
      <family val="2"/>
    </font>
    <font>
      <sz val="11"/>
      <color rgb="FF222222"/>
      <name val="Arial"/>
      <family val="2"/>
    </font>
    <font>
      <sz val="12"/>
      <color rgb="FF222222"/>
      <name val="Arial"/>
      <family val="2"/>
    </font>
    <font>
      <sz val="12"/>
      <color rgb="FF0B1E59"/>
      <name val="Arial"/>
      <family val="2"/>
    </font>
    <font>
      <u/>
      <sz val="11"/>
      <color theme="10"/>
      <name val="Calibri"/>
      <family val="2"/>
    </font>
    <font>
      <sz val="14"/>
      <color theme="1"/>
      <name val="Calibri"/>
      <family val="2"/>
      <scheme val="minor"/>
    </font>
    <font>
      <sz val="14"/>
      <name val="Calibri"/>
      <family val="2"/>
      <scheme val="minor"/>
    </font>
    <font>
      <b/>
      <sz val="9"/>
      <color indexed="81"/>
      <name val="Tahoma"/>
      <family val="2"/>
    </font>
    <font>
      <b/>
      <sz val="20"/>
      <color theme="0"/>
      <name val="Calibri"/>
      <family val="2"/>
      <scheme val="minor"/>
    </font>
    <font>
      <b/>
      <sz val="20"/>
      <color theme="1"/>
      <name val="Calibri"/>
      <family val="2"/>
      <scheme val="minor"/>
    </font>
    <font>
      <b/>
      <sz val="18"/>
      <color theme="0"/>
      <name val="Calibri"/>
      <family val="2"/>
      <scheme val="minor"/>
    </font>
    <font>
      <b/>
      <sz val="18"/>
      <color theme="1"/>
      <name val="Calibri"/>
      <family val="2"/>
      <scheme val="minor"/>
    </font>
    <font>
      <b/>
      <u/>
      <sz val="18"/>
      <color rgb="FFFF0000"/>
      <name val="Calibri"/>
      <family val="2"/>
    </font>
    <font>
      <sz val="11"/>
      <color theme="0"/>
      <name val="Calibri"/>
      <family val="2"/>
      <scheme val="minor"/>
    </font>
    <font>
      <sz val="9"/>
      <color theme="1" tint="0.499984740745262"/>
      <name val="Calibri"/>
      <family val="2"/>
      <scheme val="minor"/>
    </font>
    <font>
      <b/>
      <sz val="20"/>
      <color theme="4"/>
      <name val="Arial Black"/>
      <family val="2"/>
    </font>
    <font>
      <b/>
      <sz val="20"/>
      <color theme="1"/>
      <name val="Arial Black"/>
      <family val="2"/>
    </font>
    <font>
      <b/>
      <sz val="20"/>
      <color theme="1"/>
      <name val="Times New Roman"/>
      <family val="1"/>
    </font>
    <font>
      <sz val="20"/>
      <color theme="1"/>
      <name val="Calibri"/>
      <family val="2"/>
      <scheme val="minor"/>
    </font>
    <font>
      <sz val="11"/>
      <color theme="1"/>
      <name val="Arial Rounded MT Bold"/>
      <family val="2"/>
    </font>
    <font>
      <sz val="12"/>
      <name val="Arial Rounded MT Bold"/>
      <family val="2"/>
    </font>
    <font>
      <sz val="12"/>
      <color theme="1"/>
      <name val="Arial Rounded MT Bold"/>
      <family val="2"/>
    </font>
    <font>
      <b/>
      <sz val="8"/>
      <color theme="1"/>
      <name val="Calibri"/>
      <family val="2"/>
      <scheme val="minor"/>
    </font>
  </fonts>
  <fills count="10">
    <fill>
      <patternFill patternType="none"/>
    </fill>
    <fill>
      <patternFill patternType="gray125"/>
    </fill>
    <fill>
      <patternFill patternType="solid">
        <fgColor theme="0" tint="-0.14999847407452621"/>
        <bgColor indexed="64"/>
      </patternFill>
    </fill>
    <fill>
      <patternFill patternType="solid">
        <fgColor theme="0" tint="-4.9989318521683403E-2"/>
        <bgColor indexed="64"/>
      </patternFill>
    </fill>
    <fill>
      <patternFill patternType="solid">
        <fgColor theme="0"/>
        <bgColor indexed="64"/>
      </patternFill>
    </fill>
    <fill>
      <patternFill patternType="solid">
        <fgColor theme="1"/>
        <bgColor indexed="64"/>
      </patternFill>
    </fill>
    <fill>
      <patternFill patternType="solid">
        <fgColor rgb="FFFFFF00"/>
        <bgColor indexed="64"/>
      </patternFill>
    </fill>
    <fill>
      <patternFill patternType="solid">
        <fgColor theme="4" tint="0.39997558519241921"/>
        <bgColor indexed="64"/>
      </patternFill>
    </fill>
    <fill>
      <patternFill patternType="solid">
        <fgColor theme="1" tint="0.499984740745262"/>
        <bgColor indexed="64"/>
      </patternFill>
    </fill>
    <fill>
      <patternFill patternType="solid">
        <fgColor theme="0" tint="-0.499984740745262"/>
        <bgColor indexed="64"/>
      </patternFill>
    </fill>
  </fills>
  <borders count="16">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s>
  <cellStyleXfs count="2">
    <xf numFmtId="0" fontId="0" fillId="0" borderId="0"/>
    <xf numFmtId="0" fontId="21" fillId="0" borderId="0" applyNumberFormat="0" applyFill="0" applyBorder="0" applyAlignment="0" applyProtection="0">
      <alignment vertical="top"/>
      <protection locked="0"/>
    </xf>
  </cellStyleXfs>
  <cellXfs count="176">
    <xf numFmtId="0" fontId="0" fillId="0" borderId="0" xfId="0"/>
    <xf numFmtId="0" fontId="6" fillId="0" borderId="0" xfId="0" applyFont="1" applyAlignment="1">
      <alignment horizontal="left" wrapText="1"/>
    </xf>
    <xf numFmtId="0" fontId="6" fillId="0" borderId="0" xfId="0" applyFont="1" applyBorder="1" applyAlignment="1">
      <alignment horizontal="left" wrapText="1"/>
    </xf>
    <xf numFmtId="0" fontId="0" fillId="5" borderId="0" xfId="0" applyFill="1" applyAlignment="1"/>
    <xf numFmtId="0" fontId="4" fillId="4" borderId="0" xfId="0" applyFont="1" applyFill="1" applyAlignment="1">
      <alignment wrapText="1"/>
    </xf>
    <xf numFmtId="0" fontId="4" fillId="4" borderId="0" xfId="0" applyFont="1" applyFill="1" applyAlignment="1">
      <alignment vertical="center" wrapText="1"/>
    </xf>
    <xf numFmtId="0" fontId="22" fillId="0" borderId="0" xfId="0" applyFont="1" applyAlignment="1">
      <alignment horizontal="left" wrapText="1"/>
    </xf>
    <xf numFmtId="0" fontId="23" fillId="0" borderId="0" xfId="0" applyFont="1" applyAlignment="1" applyProtection="1">
      <alignment horizontal="left" wrapText="1"/>
      <protection hidden="1"/>
    </xf>
    <xf numFmtId="0" fontId="22" fillId="0" borderId="0" xfId="0" applyFont="1" applyBorder="1" applyAlignment="1">
      <alignment horizontal="left" wrapText="1"/>
    </xf>
    <xf numFmtId="0" fontId="3" fillId="0" borderId="0" xfId="0" applyFont="1" applyBorder="1" applyAlignment="1" applyProtection="1">
      <alignment horizontal="left" vertical="top" wrapText="1"/>
      <protection locked="0"/>
    </xf>
    <xf numFmtId="0" fontId="0" fillId="0" borderId="0" xfId="0" applyAlignment="1" applyProtection="1">
      <alignment wrapText="1"/>
    </xf>
    <xf numFmtId="0" fontId="0" fillId="3" borderId="0" xfId="0" applyFill="1" applyBorder="1" applyAlignment="1" applyProtection="1">
      <alignment wrapText="1"/>
    </xf>
    <xf numFmtId="0" fontId="0" fillId="3" borderId="0" xfId="0" applyFont="1" applyFill="1" applyBorder="1" applyAlignment="1" applyProtection="1">
      <alignment wrapText="1"/>
    </xf>
    <xf numFmtId="0" fontId="4" fillId="2" borderId="7" xfId="0" applyFont="1" applyFill="1" applyBorder="1" applyAlignment="1" applyProtection="1">
      <alignment vertical="center" wrapText="1"/>
      <protection locked="0"/>
    </xf>
    <xf numFmtId="0" fontId="4" fillId="2" borderId="8" xfId="0" quotePrefix="1" applyNumberFormat="1" applyFont="1" applyFill="1" applyBorder="1" applyAlignment="1" applyProtection="1">
      <alignment horizontal="left" vertical="center" wrapText="1"/>
      <protection locked="0"/>
    </xf>
    <xf numFmtId="14" fontId="3" fillId="2" borderId="7" xfId="0" applyNumberFormat="1" applyFont="1" applyFill="1" applyBorder="1" applyAlignment="1" applyProtection="1">
      <alignment horizontal="left" vertical="center" wrapText="1"/>
      <protection locked="0"/>
    </xf>
    <xf numFmtId="0" fontId="1" fillId="0" borderId="0" xfId="0" applyFont="1" applyAlignment="1" applyProtection="1">
      <alignment wrapText="1"/>
    </xf>
    <xf numFmtId="0" fontId="0" fillId="3" borderId="0" xfId="0" applyFill="1" applyBorder="1" applyAlignment="1" applyProtection="1">
      <alignment horizontal="center" vertical="center" wrapText="1"/>
    </xf>
    <xf numFmtId="14" fontId="3" fillId="0" borderId="7" xfId="0" applyNumberFormat="1" applyFont="1" applyBorder="1" applyAlignment="1" applyProtection="1">
      <alignment horizontal="left" vertical="center" wrapText="1"/>
      <protection locked="0"/>
    </xf>
    <xf numFmtId="0" fontId="0" fillId="0" borderId="0" xfId="0" applyAlignment="1" applyProtection="1">
      <alignment horizontal="center" vertical="center" wrapText="1"/>
    </xf>
    <xf numFmtId="2" fontId="0" fillId="3" borderId="0" xfId="0" applyNumberFormat="1" applyFill="1" applyBorder="1" applyAlignment="1" applyProtection="1">
      <alignment wrapText="1"/>
    </xf>
    <xf numFmtId="0" fontId="3" fillId="0" borderId="0" xfId="0" applyFont="1" applyAlignment="1" applyProtection="1">
      <alignment horizontal="center" vertical="center" wrapText="1"/>
      <protection locked="0"/>
    </xf>
    <xf numFmtId="0" fontId="3" fillId="0" borderId="0" xfId="0" applyFont="1" applyAlignment="1" applyProtection="1">
      <alignment wrapText="1"/>
    </xf>
    <xf numFmtId="2" fontId="3" fillId="3" borderId="0" xfId="0" applyNumberFormat="1" applyFont="1" applyFill="1" applyBorder="1" applyAlignment="1" applyProtection="1">
      <alignment wrapText="1"/>
    </xf>
    <xf numFmtId="0" fontId="5" fillId="4" borderId="3" xfId="0" applyFont="1" applyFill="1" applyBorder="1" applyAlignment="1" applyProtection="1">
      <alignment vertical="center" wrapText="1"/>
    </xf>
    <xf numFmtId="2" fontId="12" fillId="0" borderId="11" xfId="0" applyNumberFormat="1" applyFont="1" applyBorder="1" applyAlignment="1" applyProtection="1">
      <alignment horizontal="right" wrapText="1"/>
      <protection locked="0"/>
    </xf>
    <xf numFmtId="2" fontId="7" fillId="0" borderId="11" xfId="0" applyNumberFormat="1" applyFont="1" applyBorder="1" applyAlignment="1" applyProtection="1">
      <alignment horizontal="right" vertical="center" wrapText="1"/>
    </xf>
    <xf numFmtId="2" fontId="0" fillId="0" borderId="0" xfId="0" applyNumberFormat="1" applyAlignment="1" applyProtection="1">
      <alignment wrapText="1"/>
    </xf>
    <xf numFmtId="0" fontId="2" fillId="0" borderId="8" xfId="0" applyFont="1" applyBorder="1" applyAlignment="1" applyProtection="1">
      <alignment vertical="center" wrapText="1"/>
    </xf>
    <xf numFmtId="9" fontId="2" fillId="0" borderId="7" xfId="0" applyNumberFormat="1" applyFont="1" applyBorder="1" applyAlignment="1" applyProtection="1">
      <alignment vertical="center" wrapText="1"/>
    </xf>
    <xf numFmtId="0" fontId="0" fillId="2" borderId="3" xfId="0" applyFill="1" applyBorder="1" applyAlignment="1" applyProtection="1">
      <alignment wrapText="1"/>
    </xf>
    <xf numFmtId="9" fontId="2" fillId="0" borderId="7" xfId="0" applyNumberFormat="1" applyFont="1" applyBorder="1" applyAlignment="1" applyProtection="1">
      <alignment vertical="center" wrapText="1"/>
      <protection locked="0"/>
    </xf>
    <xf numFmtId="0" fontId="2" fillId="2" borderId="4" xfId="0" applyFont="1" applyFill="1" applyBorder="1" applyAlignment="1" applyProtection="1">
      <alignment vertical="center" wrapText="1"/>
    </xf>
    <xf numFmtId="0" fontId="0" fillId="2" borderId="0" xfId="0" applyFill="1" applyBorder="1" applyAlignment="1" applyProtection="1">
      <alignment wrapText="1"/>
    </xf>
    <xf numFmtId="0" fontId="2" fillId="2" borderId="5" xfId="0" applyFont="1" applyFill="1" applyBorder="1" applyAlignment="1" applyProtection="1">
      <alignment horizontal="center" vertical="center" wrapText="1"/>
    </xf>
    <xf numFmtId="2" fontId="2" fillId="2" borderId="12" xfId="0" applyNumberFormat="1" applyFont="1" applyFill="1" applyBorder="1" applyAlignment="1" applyProtection="1">
      <alignment horizontal="right" vertical="center" wrapText="1"/>
    </xf>
    <xf numFmtId="0" fontId="1" fillId="3" borderId="2" xfId="0" applyFont="1" applyFill="1" applyBorder="1" applyAlignment="1" applyProtection="1">
      <alignment wrapText="1"/>
    </xf>
    <xf numFmtId="0" fontId="11" fillId="3" borderId="0" xfId="0" applyFont="1" applyFill="1" applyBorder="1" applyAlignment="1" applyProtection="1">
      <alignment wrapText="1"/>
    </xf>
    <xf numFmtId="0" fontId="0" fillId="3" borderId="4" xfId="0" applyFill="1" applyBorder="1" applyAlignment="1" applyProtection="1">
      <alignment wrapText="1"/>
    </xf>
    <xf numFmtId="0" fontId="0" fillId="3" borderId="5" xfId="0" applyFill="1" applyBorder="1" applyAlignment="1" applyProtection="1">
      <alignment wrapText="1"/>
    </xf>
    <xf numFmtId="0" fontId="1" fillId="3" borderId="0" xfId="0" applyFont="1" applyFill="1" applyBorder="1" applyAlignment="1" applyProtection="1">
      <alignment wrapText="1"/>
    </xf>
    <xf numFmtId="0" fontId="4" fillId="2" borderId="11" xfId="0" applyFont="1" applyFill="1" applyBorder="1" applyAlignment="1" applyProtection="1">
      <alignment horizontal="center" vertical="center" wrapText="1"/>
    </xf>
    <xf numFmtId="0" fontId="4" fillId="2" borderId="6" xfId="0" applyFont="1" applyFill="1" applyBorder="1" applyAlignment="1" applyProtection="1">
      <alignment horizontal="center" vertical="center" wrapText="1"/>
    </xf>
    <xf numFmtId="0" fontId="3" fillId="0" borderId="13" xfId="0" applyFont="1" applyBorder="1" applyAlignment="1" applyProtection="1">
      <alignment horizontal="center" vertical="center" wrapText="1"/>
    </xf>
    <xf numFmtId="2" fontId="12" fillId="0" borderId="13" xfId="0" applyNumberFormat="1" applyFont="1" applyBorder="1" applyAlignment="1" applyProtection="1">
      <alignment horizontal="right" vertical="center" wrapText="1"/>
    </xf>
    <xf numFmtId="0" fontId="3" fillId="0" borderId="14" xfId="0" applyFont="1" applyBorder="1" applyAlignment="1" applyProtection="1">
      <alignment horizontal="center" vertical="center" wrapText="1"/>
    </xf>
    <xf numFmtId="0" fontId="0" fillId="2" borderId="6" xfId="0" applyFill="1" applyBorder="1" applyAlignment="1" applyProtection="1">
      <alignment horizontal="center" vertical="center" wrapText="1"/>
    </xf>
    <xf numFmtId="0" fontId="3" fillId="0" borderId="1" xfId="0" applyFont="1" applyBorder="1" applyAlignment="1" applyProtection="1">
      <alignment vertical="top" wrapText="1"/>
    </xf>
    <xf numFmtId="0" fontId="3" fillId="0" borderId="4" xfId="0" applyFont="1" applyBorder="1" applyAlignment="1" applyProtection="1">
      <alignment vertical="top" wrapText="1"/>
    </xf>
    <xf numFmtId="0" fontId="4" fillId="4" borderId="9" xfId="0" applyFont="1" applyFill="1" applyBorder="1" applyAlignment="1" applyProtection="1">
      <alignment horizontal="center" vertical="center" wrapText="1"/>
    </xf>
    <xf numFmtId="0" fontId="4" fillId="4" borderId="10" xfId="0" applyFont="1" applyFill="1" applyBorder="1" applyAlignment="1" applyProtection="1">
      <alignment horizontal="left" vertical="center" wrapText="1"/>
    </xf>
    <xf numFmtId="164" fontId="3" fillId="0" borderId="8" xfId="0" applyNumberFormat="1" applyFont="1" applyBorder="1" applyAlignment="1" applyProtection="1">
      <alignment horizontal="left" vertical="center" wrapText="1"/>
      <protection locked="0"/>
    </xf>
    <xf numFmtId="0" fontId="0" fillId="5" borderId="0" xfId="0" applyFill="1" applyAlignment="1" applyProtection="1">
      <alignment wrapText="1"/>
    </xf>
    <xf numFmtId="0" fontId="0" fillId="5" borderId="0" xfId="0" applyFill="1" applyBorder="1" applyAlignment="1" applyProtection="1">
      <alignment wrapText="1"/>
    </xf>
    <xf numFmtId="0" fontId="0" fillId="8" borderId="0" xfId="0" applyFill="1" applyAlignment="1" applyProtection="1">
      <alignment wrapText="1"/>
    </xf>
    <xf numFmtId="0" fontId="0" fillId="8" borderId="0" xfId="0" applyFill="1" applyAlignment="1" applyProtection="1">
      <alignment vertical="center" wrapText="1"/>
    </xf>
    <xf numFmtId="0" fontId="6" fillId="0" borderId="0" xfId="0" applyFont="1" applyAlignment="1" applyProtection="1">
      <alignment horizontal="left" wrapText="1"/>
      <protection locked="0"/>
    </xf>
    <xf numFmtId="0" fontId="8" fillId="0" borderId="0" xfId="0" applyFont="1" applyAlignment="1" applyProtection="1">
      <alignment horizontal="left" wrapText="1"/>
      <protection locked="0"/>
    </xf>
    <xf numFmtId="0" fontId="6" fillId="0" borderId="0" xfId="0" applyFont="1" applyBorder="1" applyAlignment="1" applyProtection="1">
      <alignment horizontal="left" wrapText="1"/>
      <protection locked="0"/>
    </xf>
    <xf numFmtId="0" fontId="13" fillId="0" borderId="0" xfId="0" applyFont="1" applyAlignment="1" applyProtection="1">
      <alignment horizontal="left" wrapText="1"/>
      <protection locked="0"/>
    </xf>
    <xf numFmtId="0" fontId="13" fillId="0" borderId="0" xfId="0" applyFont="1" applyBorder="1" applyAlignment="1" applyProtection="1">
      <alignment horizontal="left" wrapText="1"/>
      <protection locked="0"/>
    </xf>
    <xf numFmtId="0" fontId="14" fillId="0" borderId="0" xfId="0" applyFont="1" applyAlignment="1" applyProtection="1">
      <alignment wrapText="1"/>
      <protection locked="0"/>
    </xf>
    <xf numFmtId="0" fontId="15" fillId="0" borderId="0" xfId="0" applyFont="1" applyAlignment="1" applyProtection="1">
      <alignment wrapText="1"/>
      <protection locked="0"/>
    </xf>
    <xf numFmtId="0" fontId="16" fillId="0" borderId="0" xfId="0" applyFont="1" applyAlignment="1" applyProtection="1">
      <alignment wrapText="1"/>
      <protection locked="0"/>
    </xf>
    <xf numFmtId="0" fontId="17" fillId="0" borderId="0" xfId="0" applyFont="1" applyAlignment="1" applyProtection="1">
      <alignment wrapText="1"/>
      <protection locked="0"/>
    </xf>
    <xf numFmtId="0" fontId="18" fillId="0" borderId="0" xfId="0" applyFont="1" applyAlignment="1" applyProtection="1">
      <alignment wrapText="1"/>
      <protection locked="0"/>
    </xf>
    <xf numFmtId="0" fontId="19" fillId="0" borderId="0" xfId="0" applyFont="1" applyAlignment="1" applyProtection="1">
      <alignment wrapText="1"/>
      <protection locked="0"/>
    </xf>
    <xf numFmtId="0" fontId="20" fillId="0" borderId="0" xfId="0" applyFont="1" applyAlignment="1" applyProtection="1">
      <alignment wrapText="1"/>
      <protection locked="0"/>
    </xf>
    <xf numFmtId="0" fontId="6" fillId="0" borderId="0" xfId="1" applyFont="1" applyBorder="1" applyAlignment="1" applyProtection="1">
      <alignment horizontal="left" wrapText="1"/>
      <protection locked="0"/>
    </xf>
    <xf numFmtId="0" fontId="22" fillId="0" borderId="0" xfId="0" applyFont="1" applyAlignment="1" applyProtection="1">
      <alignment horizontal="left" wrapText="1"/>
      <protection locked="0"/>
    </xf>
    <xf numFmtId="0" fontId="6" fillId="0" borderId="0" xfId="0" applyNumberFormat="1" applyFont="1" applyAlignment="1" applyProtection="1">
      <alignment horizontal="left" wrapText="1"/>
    </xf>
    <xf numFmtId="0" fontId="6" fillId="0" borderId="0" xfId="0" applyFont="1" applyAlignment="1" applyProtection="1">
      <alignment horizontal="left" wrapText="1"/>
    </xf>
    <xf numFmtId="2" fontId="3" fillId="0" borderId="13" xfId="0" applyNumberFormat="1" applyFont="1" applyBorder="1" applyAlignment="1" applyProtection="1">
      <alignment horizontal="center" vertical="center" wrapText="1"/>
      <protection locked="0"/>
    </xf>
    <xf numFmtId="2" fontId="3" fillId="0" borderId="14" xfId="0" applyNumberFormat="1" applyFont="1" applyBorder="1" applyAlignment="1" applyProtection="1">
      <alignment horizontal="center" vertical="center" wrapText="1"/>
      <protection locked="0"/>
    </xf>
    <xf numFmtId="0" fontId="0" fillId="0" borderId="4" xfId="0" applyBorder="1" applyAlignment="1" applyProtection="1">
      <alignment wrapText="1"/>
    </xf>
    <xf numFmtId="0" fontId="3" fillId="0" borderId="5" xfId="0" applyFont="1" applyBorder="1" applyAlignment="1" applyProtection="1">
      <alignment wrapText="1"/>
    </xf>
    <xf numFmtId="0" fontId="36" fillId="0" borderId="4" xfId="0" applyFont="1" applyBorder="1" applyAlignment="1" applyProtection="1">
      <alignment wrapText="1"/>
    </xf>
    <xf numFmtId="0" fontId="38" fillId="0" borderId="5" xfId="0" applyFont="1" applyBorder="1" applyAlignment="1" applyProtection="1">
      <alignment wrapText="1"/>
    </xf>
    <xf numFmtId="0" fontId="36" fillId="0" borderId="5" xfId="0" applyFont="1" applyBorder="1" applyAlignment="1" applyProtection="1">
      <alignment wrapText="1"/>
    </xf>
    <xf numFmtId="0" fontId="0" fillId="0" borderId="0" xfId="0" applyFill="1" applyAlignment="1" applyProtection="1">
      <alignment wrapText="1"/>
    </xf>
    <xf numFmtId="0" fontId="5" fillId="0" borderId="0" xfId="0" applyFont="1" applyFill="1" applyAlignment="1">
      <alignment horizontal="center" vertical="center" wrapText="1"/>
    </xf>
    <xf numFmtId="14" fontId="5" fillId="0" borderId="0" xfId="0" applyNumberFormat="1" applyFont="1" applyFill="1" applyAlignment="1">
      <alignment horizontal="center" vertical="center" wrapText="1"/>
    </xf>
    <xf numFmtId="0" fontId="5" fillId="0" borderId="0" xfId="0" applyFont="1" applyAlignment="1">
      <alignment horizontal="left" vertical="center" wrapText="1"/>
    </xf>
    <xf numFmtId="14" fontId="5" fillId="0" borderId="0" xfId="0" applyNumberFormat="1" applyFont="1" applyAlignment="1">
      <alignment horizontal="left" vertical="center" wrapText="1"/>
    </xf>
    <xf numFmtId="0" fontId="5" fillId="0" borderId="0" xfId="0" applyNumberFormat="1" applyFont="1" applyAlignment="1">
      <alignment horizontal="left" vertical="center" wrapText="1"/>
    </xf>
    <xf numFmtId="22" fontId="5" fillId="0" borderId="0" xfId="0" applyNumberFormat="1" applyFont="1" applyAlignment="1">
      <alignment horizontal="left" vertical="center" wrapText="1"/>
    </xf>
    <xf numFmtId="0" fontId="39" fillId="0" borderId="0" xfId="0" applyFont="1" applyFill="1" applyAlignment="1">
      <alignment horizontal="center" vertical="center" wrapText="1"/>
    </xf>
    <xf numFmtId="14" fontId="39" fillId="0" borderId="0" xfId="0" applyNumberFormat="1" applyFont="1" applyFill="1" applyAlignment="1">
      <alignment horizontal="center" vertical="center" wrapText="1"/>
    </xf>
    <xf numFmtId="0" fontId="39" fillId="0" borderId="0" xfId="0" applyFont="1" applyAlignment="1">
      <alignment horizontal="left" vertical="center" wrapText="1"/>
    </xf>
    <xf numFmtId="0" fontId="0" fillId="9" borderId="0" xfId="0" applyFill="1" applyAlignment="1" applyProtection="1">
      <alignment wrapText="1"/>
    </xf>
    <xf numFmtId="2" fontId="0" fillId="0" borderId="0" xfId="0" applyNumberFormat="1" applyFill="1" applyAlignment="1" applyProtection="1">
      <alignment wrapText="1"/>
    </xf>
    <xf numFmtId="0" fontId="30" fillId="0" borderId="0" xfId="0" applyFont="1" applyFill="1" applyAlignment="1" applyProtection="1">
      <alignment wrapText="1"/>
    </xf>
    <xf numFmtId="0" fontId="8" fillId="9" borderId="0" xfId="0" applyFont="1" applyFill="1" applyAlignment="1" applyProtection="1">
      <alignment horizontal="center" vertical="center" wrapText="1"/>
    </xf>
    <xf numFmtId="0" fontId="37" fillId="0" borderId="0" xfId="0" applyFont="1" applyBorder="1" applyAlignment="1" applyProtection="1">
      <alignment horizontal="center" wrapText="1"/>
    </xf>
    <xf numFmtId="0" fontId="37" fillId="0" borderId="5" xfId="0" applyFont="1" applyBorder="1" applyAlignment="1" applyProtection="1">
      <alignment horizontal="center" wrapText="1"/>
    </xf>
    <xf numFmtId="0" fontId="36" fillId="0" borderId="9" xfId="0" applyFont="1" applyBorder="1" applyAlignment="1" applyProtection="1">
      <alignment horizontal="center" wrapText="1"/>
    </xf>
    <xf numFmtId="0" fontId="38" fillId="0" borderId="15" xfId="0" applyFont="1" applyBorder="1" applyAlignment="1" applyProtection="1">
      <alignment horizontal="center" wrapText="1"/>
    </xf>
    <xf numFmtId="0" fontId="38" fillId="0" borderId="10" xfId="0" applyFont="1" applyBorder="1" applyAlignment="1" applyProtection="1">
      <alignment horizontal="center" wrapText="1"/>
    </xf>
    <xf numFmtId="0" fontId="30" fillId="5" borderId="0" xfId="0" applyFont="1" applyFill="1" applyAlignment="1" applyProtection="1">
      <alignment horizontal="center" wrapText="1"/>
    </xf>
    <xf numFmtId="0" fontId="31" fillId="0" borderId="2" xfId="0" applyFont="1" applyBorder="1" applyAlignment="1" applyProtection="1">
      <alignment horizontal="left" wrapText="1"/>
    </xf>
    <xf numFmtId="0" fontId="2" fillId="2" borderId="6" xfId="0" applyFont="1" applyFill="1" applyBorder="1" applyAlignment="1" applyProtection="1">
      <alignment vertical="center" wrapText="1"/>
    </xf>
    <xf numFmtId="0" fontId="2" fillId="2" borderId="7" xfId="0" applyFont="1" applyFill="1" applyBorder="1" applyAlignment="1" applyProtection="1">
      <alignment vertical="center" wrapText="1"/>
    </xf>
    <xf numFmtId="0" fontId="2" fillId="0" borderId="6" xfId="0" applyFont="1" applyBorder="1" applyAlignment="1" applyProtection="1">
      <alignment horizontal="left" vertical="center" wrapText="1"/>
    </xf>
    <xf numFmtId="0" fontId="2" fillId="0" borderId="7" xfId="0" applyFont="1" applyBorder="1" applyAlignment="1" applyProtection="1">
      <alignment horizontal="left" vertical="center" wrapText="1"/>
    </xf>
    <xf numFmtId="0" fontId="2" fillId="4" borderId="6" xfId="0" applyFont="1" applyFill="1" applyBorder="1" applyAlignment="1" applyProtection="1">
      <alignment horizontal="center" vertical="center" wrapText="1"/>
    </xf>
    <xf numFmtId="0" fontId="2" fillId="4" borderId="8" xfId="0" applyFont="1" applyFill="1" applyBorder="1" applyAlignment="1" applyProtection="1">
      <alignment horizontal="center" vertical="center" wrapText="1"/>
    </xf>
    <xf numFmtId="0" fontId="3" fillId="4" borderId="9" xfId="0" applyFont="1" applyFill="1" applyBorder="1" applyAlignment="1" applyProtection="1">
      <alignment horizontal="left" vertical="center" wrapText="1"/>
    </xf>
    <xf numFmtId="0" fontId="3" fillId="4" borderId="15" xfId="0" applyFont="1" applyFill="1" applyBorder="1" applyAlignment="1" applyProtection="1">
      <alignment horizontal="left" vertical="center" wrapText="1"/>
    </xf>
    <xf numFmtId="0" fontId="3" fillId="4" borderId="10" xfId="0" applyFont="1" applyFill="1" applyBorder="1" applyAlignment="1" applyProtection="1">
      <alignment horizontal="left" vertical="center" wrapText="1"/>
    </xf>
    <xf numFmtId="0" fontId="0" fillId="3" borderId="4" xfId="0" applyFill="1" applyBorder="1" applyAlignment="1" applyProtection="1">
      <alignment horizontal="center" wrapText="1"/>
    </xf>
    <xf numFmtId="0" fontId="0" fillId="3" borderId="0" xfId="0" applyFill="1" applyBorder="1" applyAlignment="1" applyProtection="1">
      <alignment horizontal="center" wrapText="1"/>
    </xf>
    <xf numFmtId="0" fontId="0" fillId="3" borderId="5" xfId="0" applyFill="1" applyBorder="1" applyAlignment="1" applyProtection="1">
      <alignment horizontal="center" wrapText="1"/>
    </xf>
    <xf numFmtId="0" fontId="4" fillId="3" borderId="1" xfId="0" applyFont="1" applyFill="1" applyBorder="1" applyAlignment="1" applyProtection="1">
      <alignment horizontal="center" wrapText="1"/>
    </xf>
    <xf numFmtId="0" fontId="4" fillId="3" borderId="2" xfId="0" applyFont="1" applyFill="1" applyBorder="1" applyAlignment="1" applyProtection="1">
      <alignment horizontal="center" wrapText="1"/>
    </xf>
    <xf numFmtId="0" fontId="4" fillId="3" borderId="3" xfId="0" applyFont="1" applyFill="1" applyBorder="1" applyAlignment="1" applyProtection="1">
      <alignment horizontal="center" wrapText="1"/>
    </xf>
    <xf numFmtId="0" fontId="9" fillId="3" borderId="4" xfId="0" applyFont="1" applyFill="1" applyBorder="1" applyAlignment="1" applyProtection="1">
      <alignment horizontal="left" wrapText="1"/>
    </xf>
    <xf numFmtId="0" fontId="10" fillId="3" borderId="0" xfId="0" applyFont="1" applyFill="1" applyBorder="1" applyAlignment="1" applyProtection="1">
      <alignment horizontal="left" wrapText="1"/>
    </xf>
    <xf numFmtId="0" fontId="10" fillId="3" borderId="4" xfId="0" applyFont="1" applyFill="1" applyBorder="1" applyAlignment="1" applyProtection="1">
      <alignment horizontal="left" wrapText="1"/>
    </xf>
    <xf numFmtId="0" fontId="4" fillId="3" borderId="1" xfId="0" applyFont="1" applyFill="1" applyBorder="1" applyAlignment="1" applyProtection="1">
      <alignment wrapText="1"/>
    </xf>
    <xf numFmtId="0" fontId="4" fillId="3" borderId="2" xfId="0" applyFont="1" applyFill="1" applyBorder="1" applyAlignment="1" applyProtection="1">
      <alignment wrapText="1"/>
    </xf>
    <xf numFmtId="0" fontId="0" fillId="3" borderId="9" xfId="0" applyFill="1" applyBorder="1" applyAlignment="1" applyProtection="1">
      <alignment horizontal="center" wrapText="1"/>
    </xf>
    <xf numFmtId="0" fontId="0" fillId="3" borderId="15" xfId="0" applyFill="1" applyBorder="1" applyAlignment="1" applyProtection="1">
      <alignment horizontal="center" wrapText="1"/>
    </xf>
    <xf numFmtId="0" fontId="0" fillId="3" borderId="10" xfId="0" applyFill="1" applyBorder="1" applyAlignment="1" applyProtection="1">
      <alignment horizontal="center" wrapText="1"/>
    </xf>
    <xf numFmtId="0" fontId="10" fillId="3" borderId="9" xfId="0" applyFont="1" applyFill="1" applyBorder="1" applyAlignment="1" applyProtection="1">
      <alignment horizontal="left" wrapText="1"/>
    </xf>
    <xf numFmtId="0" fontId="10" fillId="3" borderId="15" xfId="0" applyFont="1" applyFill="1" applyBorder="1" applyAlignment="1" applyProtection="1">
      <alignment horizontal="left" wrapText="1"/>
    </xf>
    <xf numFmtId="0" fontId="10" fillId="3" borderId="10" xfId="0" applyFont="1" applyFill="1" applyBorder="1" applyAlignment="1" applyProtection="1">
      <alignment horizontal="left" wrapText="1"/>
    </xf>
    <xf numFmtId="0" fontId="38" fillId="0" borderId="0" xfId="0" applyFont="1" applyBorder="1" applyAlignment="1" applyProtection="1">
      <alignment horizontal="center" wrapText="1"/>
    </xf>
    <xf numFmtId="0" fontId="36" fillId="0" borderId="0" xfId="0" applyFont="1" applyBorder="1" applyAlignment="1" applyProtection="1">
      <alignment horizontal="center" wrapText="1"/>
    </xf>
    <xf numFmtId="0" fontId="3" fillId="0" borderId="8" xfId="0" applyFont="1" applyBorder="1" applyAlignment="1" applyProtection="1">
      <alignment horizontal="left" vertical="center" wrapText="1"/>
      <protection locked="0"/>
    </xf>
    <xf numFmtId="0" fontId="3" fillId="0" borderId="7" xfId="0" applyFont="1" applyBorder="1" applyAlignment="1" applyProtection="1">
      <alignment horizontal="left" vertical="center" wrapText="1"/>
      <protection locked="0"/>
    </xf>
    <xf numFmtId="0" fontId="3" fillId="0" borderId="3" xfId="0" applyFont="1" applyBorder="1" applyAlignment="1" applyProtection="1">
      <alignment horizontal="left" vertical="top" wrapText="1"/>
    </xf>
    <xf numFmtId="0" fontId="3" fillId="0" borderId="5" xfId="0" applyFont="1" applyBorder="1" applyAlignment="1" applyProtection="1">
      <alignment horizontal="left" vertical="top" wrapText="1"/>
    </xf>
    <xf numFmtId="0" fontId="2" fillId="2" borderId="1" xfId="0" applyFont="1" applyFill="1" applyBorder="1" applyAlignment="1" applyProtection="1">
      <alignment horizontal="center" vertical="center" wrapText="1"/>
    </xf>
    <xf numFmtId="0" fontId="2" fillId="2" borderId="2" xfId="0" applyFont="1" applyFill="1" applyBorder="1" applyAlignment="1" applyProtection="1">
      <alignment horizontal="center" vertical="center" wrapText="1"/>
    </xf>
    <xf numFmtId="0" fontId="2" fillId="2" borderId="4" xfId="0" applyFont="1" applyFill="1" applyBorder="1" applyAlignment="1" applyProtection="1">
      <alignment horizontal="center" vertical="center" wrapText="1"/>
    </xf>
    <xf numFmtId="0" fontId="2" fillId="2" borderId="0" xfId="0" applyFont="1" applyFill="1" applyBorder="1" applyAlignment="1" applyProtection="1">
      <alignment horizontal="center" vertical="center" wrapText="1"/>
    </xf>
    <xf numFmtId="0" fontId="2" fillId="2" borderId="5" xfId="0" applyFont="1" applyFill="1" applyBorder="1" applyAlignment="1" applyProtection="1">
      <alignment horizontal="center" vertical="center" wrapText="1"/>
    </xf>
    <xf numFmtId="0" fontId="4" fillId="4" borderId="6" xfId="0" applyFont="1" applyFill="1" applyBorder="1" applyAlignment="1" applyProtection="1">
      <alignment horizontal="left" vertical="center" wrapText="1"/>
    </xf>
    <xf numFmtId="0" fontId="4" fillId="4" borderId="8" xfId="0" applyFont="1" applyFill="1" applyBorder="1" applyAlignment="1" applyProtection="1">
      <alignment horizontal="left" vertical="center" wrapText="1"/>
    </xf>
    <xf numFmtId="0" fontId="4" fillId="4" borderId="8" xfId="0" applyFont="1" applyFill="1" applyBorder="1" applyAlignment="1" applyProtection="1">
      <alignment horizontal="left" vertical="center" wrapText="1"/>
      <protection locked="0"/>
    </xf>
    <xf numFmtId="0" fontId="4" fillId="4" borderId="7" xfId="0" applyFont="1" applyFill="1" applyBorder="1" applyAlignment="1" applyProtection="1">
      <alignment horizontal="left" vertical="center" wrapText="1"/>
      <protection locked="0"/>
    </xf>
    <xf numFmtId="0" fontId="29" fillId="3" borderId="0" xfId="1" applyFont="1" applyFill="1" applyBorder="1" applyAlignment="1" applyProtection="1">
      <alignment horizontal="center" wrapText="1"/>
    </xf>
    <xf numFmtId="0" fontId="4" fillId="0" borderId="6" xfId="0" applyFont="1" applyBorder="1" applyAlignment="1" applyProtection="1">
      <alignment horizontal="center" wrapText="1"/>
    </xf>
    <xf numFmtId="0" fontId="4" fillId="0" borderId="8" xfId="0" applyFont="1" applyBorder="1" applyAlignment="1" applyProtection="1">
      <alignment horizontal="center" wrapText="1"/>
    </xf>
    <xf numFmtId="0" fontId="4" fillId="0" borderId="7" xfId="0" applyFont="1" applyBorder="1" applyAlignment="1" applyProtection="1">
      <alignment horizontal="center" wrapText="1"/>
    </xf>
    <xf numFmtId="0" fontId="3" fillId="4" borderId="1" xfId="0" applyFont="1" applyFill="1" applyBorder="1" applyAlignment="1" applyProtection="1">
      <alignment horizontal="left" vertical="center" wrapText="1"/>
    </xf>
    <xf numFmtId="0" fontId="3" fillId="4" borderId="2" xfId="0" applyFont="1" applyFill="1" applyBorder="1" applyAlignment="1" applyProtection="1">
      <alignment horizontal="left" vertical="center" wrapText="1"/>
    </xf>
    <xf numFmtId="0" fontId="3" fillId="4" borderId="3" xfId="0" applyFont="1" applyFill="1" applyBorder="1" applyAlignment="1" applyProtection="1">
      <alignment horizontal="left" vertical="center" wrapText="1"/>
    </xf>
    <xf numFmtId="0" fontId="3" fillId="4" borderId="4" xfId="0" applyFont="1" applyFill="1" applyBorder="1" applyAlignment="1" applyProtection="1">
      <alignment horizontal="left" vertical="center" wrapText="1"/>
    </xf>
    <xf numFmtId="0" fontId="3" fillId="4" borderId="0" xfId="0" applyFont="1" applyFill="1" applyBorder="1" applyAlignment="1" applyProtection="1">
      <alignment horizontal="left" vertical="center" wrapText="1"/>
    </xf>
    <xf numFmtId="0" fontId="3" fillId="4" borderId="5" xfId="0" applyFont="1" applyFill="1" applyBorder="1" applyAlignment="1" applyProtection="1">
      <alignment horizontal="left" vertical="center" wrapText="1"/>
    </xf>
    <xf numFmtId="0" fontId="3" fillId="2" borderId="8" xfId="0" applyFont="1" applyFill="1" applyBorder="1" applyAlignment="1" applyProtection="1">
      <alignment horizontal="left" vertical="center" wrapText="1"/>
    </xf>
    <xf numFmtId="0" fontId="4" fillId="0" borderId="6" xfId="0" applyFont="1" applyBorder="1" applyAlignment="1" applyProtection="1">
      <alignment horizontal="left" vertical="center" wrapText="1"/>
    </xf>
    <xf numFmtId="0" fontId="4" fillId="0" borderId="8" xfId="0" applyFont="1" applyBorder="1" applyAlignment="1" applyProtection="1">
      <alignment horizontal="left" vertical="center" wrapText="1"/>
    </xf>
    <xf numFmtId="0" fontId="4" fillId="0" borderId="1" xfId="0" applyFont="1" applyBorder="1" applyAlignment="1" applyProtection="1">
      <alignment horizontal="left" vertical="center" wrapText="1"/>
    </xf>
    <xf numFmtId="0" fontId="4" fillId="0" borderId="2" xfId="0" applyFont="1" applyBorder="1" applyAlignment="1" applyProtection="1">
      <alignment horizontal="left" vertical="center" wrapText="1"/>
    </xf>
    <xf numFmtId="0" fontId="3" fillId="0" borderId="2" xfId="0" applyFont="1" applyBorder="1" applyAlignment="1" applyProtection="1">
      <alignment horizontal="left" vertical="center" wrapText="1"/>
      <protection locked="0"/>
    </xf>
    <xf numFmtId="0" fontId="3" fillId="0" borderId="3" xfId="0" applyFont="1" applyBorder="1" applyAlignment="1" applyProtection="1">
      <alignment horizontal="left" vertical="center" wrapText="1"/>
      <protection locked="0"/>
    </xf>
    <xf numFmtId="0" fontId="2" fillId="0" borderId="6" xfId="0" applyFont="1" applyBorder="1" applyAlignment="1" applyProtection="1">
      <alignment horizontal="right" vertical="center" wrapText="1"/>
    </xf>
    <xf numFmtId="0" fontId="2" fillId="0" borderId="10" xfId="0" applyFont="1" applyBorder="1" applyAlignment="1" applyProtection="1">
      <alignment horizontal="right" vertical="center" wrapText="1"/>
    </xf>
    <xf numFmtId="0" fontId="2" fillId="0" borderId="2" xfId="0" applyFont="1" applyBorder="1" applyAlignment="1" applyProtection="1">
      <alignment horizontal="right" vertical="center" wrapText="1"/>
    </xf>
    <xf numFmtId="0" fontId="2" fillId="0" borderId="3" xfId="0" applyFont="1" applyBorder="1" applyAlignment="1" applyProtection="1">
      <alignment horizontal="right" vertical="center" wrapText="1"/>
    </xf>
    <xf numFmtId="0" fontId="32" fillId="0" borderId="0" xfId="0" applyFont="1" applyBorder="1" applyAlignment="1" applyProtection="1">
      <alignment horizontal="center" wrapText="1"/>
    </xf>
    <xf numFmtId="0" fontId="35" fillId="0" borderId="0" xfId="0" applyFont="1" applyBorder="1" applyAlignment="1" applyProtection="1">
      <alignment horizontal="center" wrapText="1"/>
    </xf>
    <xf numFmtId="0" fontId="0" fillId="5" borderId="0" xfId="0" applyFill="1" applyAlignment="1" applyProtection="1">
      <alignment horizontal="center" wrapText="1"/>
    </xf>
    <xf numFmtId="0" fontId="2" fillId="8" borderId="0" xfId="0" applyFont="1" applyFill="1" applyAlignment="1" applyProtection="1">
      <alignment horizontal="center" vertical="center" wrapText="1"/>
    </xf>
    <xf numFmtId="0" fontId="4" fillId="7" borderId="0" xfId="0" applyFont="1" applyFill="1" applyAlignment="1">
      <alignment horizontal="left" vertical="top" wrapText="1" indent="12"/>
    </xf>
    <xf numFmtId="0" fontId="4" fillId="4" borderId="0" xfId="0" applyFont="1" applyFill="1" applyAlignment="1">
      <alignment horizontal="left" wrapText="1" indent="14"/>
    </xf>
    <xf numFmtId="0" fontId="0" fillId="5" borderId="0" xfId="0" applyFill="1" applyAlignment="1">
      <alignment horizontal="center"/>
    </xf>
    <xf numFmtId="0" fontId="25" fillId="5" borderId="0" xfId="0" applyFont="1" applyFill="1" applyAlignment="1">
      <alignment horizontal="center"/>
    </xf>
    <xf numFmtId="0" fontId="26" fillId="5" borderId="0" xfId="0" applyFont="1" applyFill="1" applyAlignment="1">
      <alignment horizontal="center"/>
    </xf>
    <xf numFmtId="0" fontId="27" fillId="5" borderId="0" xfId="0" applyFont="1" applyFill="1" applyAlignment="1">
      <alignment horizontal="center"/>
    </xf>
    <xf numFmtId="0" fontId="28" fillId="5" borderId="0" xfId="0" applyFont="1" applyFill="1" applyAlignment="1">
      <alignment horizontal="center"/>
    </xf>
    <xf numFmtId="0" fontId="4" fillId="6" borderId="0" xfId="0" applyFont="1" applyFill="1" applyAlignment="1">
      <alignment horizontal="left" wrapText="1"/>
    </xf>
    <xf numFmtId="0" fontId="4" fillId="6" borderId="0" xfId="0" applyFont="1" applyFill="1" applyAlignment="1">
      <alignment horizontal="left" vertical="center" wrapText="1"/>
    </xf>
    <xf numFmtId="0" fontId="4" fillId="6" borderId="0" xfId="0" applyFont="1" applyFill="1" applyAlignment="1">
      <alignment horizontal="left" vertical="center"/>
    </xf>
  </cellXfs>
  <cellStyles count="2">
    <cellStyle name="Hyperlink" xfId="1" builtinId="8"/>
    <cellStyle name="Normal" xfId="0" builtinId="0"/>
  </cellStyles>
  <dxfs count="13">
    <dxf>
      <font>
        <strike val="0"/>
        <outline val="0"/>
        <shadow val="0"/>
        <u val="none"/>
        <vertAlign val="baseline"/>
        <sz val="14"/>
        <color theme="1"/>
        <name val="Calibri"/>
        <scheme val="minor"/>
      </font>
      <alignment horizontal="left" vertical="bottom" textRotation="0" wrapText="1" indent="0" relativeIndent="255" justifyLastLine="0" shrinkToFit="0" mergeCell="0" readingOrder="0"/>
    </dxf>
    <dxf>
      <font>
        <strike val="0"/>
        <outline val="0"/>
        <shadow val="0"/>
        <u val="none"/>
        <vertAlign val="baseline"/>
        <sz val="14"/>
        <color theme="1"/>
        <name val="Calibri"/>
        <scheme val="minor"/>
      </font>
      <alignment horizontal="left" vertical="bottom" textRotation="0" wrapText="1" indent="0" relativeIndent="255" justifyLastLine="0" shrinkToFit="0" mergeCell="0" readingOrder="0"/>
    </dxf>
    <dxf>
      <font>
        <strike val="0"/>
        <outline val="0"/>
        <shadow val="0"/>
        <u val="none"/>
        <vertAlign val="baseline"/>
        <sz val="14"/>
        <color theme="1"/>
        <name val="Calibri"/>
        <scheme val="minor"/>
      </font>
      <alignment horizontal="left" vertical="bottom" textRotation="0" wrapText="1" indent="0" relativeIndent="255" justifyLastLine="0" shrinkToFit="0" mergeCell="0" readingOrder="0"/>
    </dxf>
    <dxf>
      <font>
        <strike val="0"/>
        <outline val="0"/>
        <shadow val="0"/>
        <u val="none"/>
        <vertAlign val="baseline"/>
        <sz val="14"/>
        <color auto="1"/>
        <name val="Calibri"/>
        <scheme val="minor"/>
      </font>
      <alignment horizontal="left" vertical="bottom" textRotation="0" wrapText="1" indent="0" relativeIndent="255" justifyLastLine="0" shrinkToFit="0" mergeCell="0" readingOrder="0"/>
      <protection locked="1" hidden="1"/>
    </dxf>
    <dxf>
      <font>
        <strike val="0"/>
        <outline val="0"/>
        <shadow val="0"/>
        <u val="none"/>
        <vertAlign val="baseline"/>
        <sz val="14"/>
        <color theme="1"/>
        <name val="Calibri"/>
        <scheme val="minor"/>
      </font>
      <alignment horizontal="left" vertical="bottom" textRotation="0" wrapText="1" indent="0" relativeIndent="255" justifyLastLine="0" shrinkToFit="0" mergeCell="0" readingOrder="0"/>
    </dxf>
    <dxf>
      <font>
        <strike val="0"/>
        <outline val="0"/>
        <shadow val="0"/>
        <u val="none"/>
        <vertAlign val="baseline"/>
        <sz val="14"/>
        <color theme="1"/>
        <name val="Calibri"/>
        <scheme val="minor"/>
      </font>
      <alignment horizontal="left" vertical="bottom" textRotation="0" wrapText="1" indent="0" relativeIndent="255" justifyLastLine="0" shrinkToFit="0" mergeCell="0" readingOrder="0"/>
    </dxf>
    <dxf>
      <font>
        <b val="0"/>
        <i val="0"/>
        <strike val="0"/>
        <condense val="0"/>
        <extend val="0"/>
        <outline val="0"/>
        <shadow val="0"/>
        <u val="none"/>
        <vertAlign val="baseline"/>
        <sz val="14"/>
        <color theme="1"/>
        <name val="Calibri"/>
        <scheme val="minor"/>
      </font>
      <alignment horizontal="left" vertical="bottom" textRotation="0" wrapText="1" indent="0" relativeIndent="255" justifyLastLine="0" shrinkToFit="0" mergeCell="0" readingOrder="0"/>
      <protection locked="0" hidden="0"/>
    </dxf>
    <dxf>
      <font>
        <b val="0"/>
        <i val="0"/>
        <strike val="0"/>
        <condense val="0"/>
        <extend val="0"/>
        <outline val="0"/>
        <shadow val="0"/>
        <u val="none"/>
        <vertAlign val="baseline"/>
        <sz val="14"/>
        <color theme="1"/>
        <name val="Calibri"/>
        <scheme val="minor"/>
      </font>
      <alignment horizontal="left" vertical="bottom" textRotation="0" wrapText="1" indent="0" relativeIndent="255" justifyLastLine="0" shrinkToFit="0" mergeCell="0" readingOrder="0"/>
      <protection locked="0" hidden="0"/>
    </dxf>
    <dxf>
      <font>
        <b val="0"/>
        <i val="0"/>
        <strike val="0"/>
        <condense val="0"/>
        <extend val="0"/>
        <outline val="0"/>
        <shadow val="0"/>
        <u val="none"/>
        <vertAlign val="baseline"/>
        <sz val="14"/>
        <color theme="1"/>
        <name val="Calibri"/>
        <scheme val="minor"/>
      </font>
      <alignment horizontal="left" vertical="bottom" textRotation="0" wrapText="1" indent="0" relativeIndent="255" justifyLastLine="0" shrinkToFit="0" mergeCell="0" readingOrder="0"/>
      <protection locked="0" hidden="0"/>
    </dxf>
    <dxf>
      <font>
        <b val="0"/>
        <i val="0"/>
        <strike val="0"/>
        <condense val="0"/>
        <extend val="0"/>
        <outline val="0"/>
        <shadow val="0"/>
        <u val="none"/>
        <vertAlign val="baseline"/>
        <sz val="14"/>
        <color theme="1"/>
        <name val="Calibri"/>
        <scheme val="minor"/>
      </font>
      <alignment horizontal="left" vertical="bottom" textRotation="0" wrapText="1" indent="0" relativeIndent="255" justifyLastLine="0" shrinkToFit="0" mergeCell="0" readingOrder="0"/>
      <protection locked="0" hidden="0"/>
    </dxf>
    <dxf>
      <font>
        <b val="0"/>
        <i val="0"/>
        <strike val="0"/>
        <condense val="0"/>
        <extend val="0"/>
        <outline val="0"/>
        <shadow val="0"/>
        <u val="none"/>
        <vertAlign val="baseline"/>
        <sz val="14"/>
        <color theme="1"/>
        <name val="Calibri"/>
        <scheme val="minor"/>
      </font>
      <numFmt numFmtId="0" formatCode="General"/>
      <alignment horizontal="left" vertical="bottom" textRotation="0" wrapText="1" indent="0" relativeIndent="255" justifyLastLine="0" shrinkToFit="0" mergeCell="0" readingOrder="0"/>
      <protection locked="1" hidden="0"/>
    </dxf>
    <dxf>
      <font>
        <b val="0"/>
        <i val="0"/>
        <strike val="0"/>
        <condense val="0"/>
        <extend val="0"/>
        <outline val="0"/>
        <shadow val="0"/>
        <u val="none"/>
        <vertAlign val="baseline"/>
        <sz val="14"/>
        <color theme="1"/>
        <name val="Calibri"/>
        <scheme val="minor"/>
      </font>
      <alignment horizontal="left" vertical="bottom" textRotation="0" wrapText="1" indent="0" relativeIndent="255" justifyLastLine="0" shrinkToFit="0" mergeCell="0" readingOrder="0"/>
      <protection locked="0" hidden="0"/>
    </dxf>
    <dxf>
      <font>
        <b val="0"/>
        <i val="0"/>
        <strike val="0"/>
        <condense val="0"/>
        <extend val="0"/>
        <outline val="0"/>
        <shadow val="0"/>
        <u val="none"/>
        <vertAlign val="baseline"/>
        <sz val="14"/>
        <color theme="1"/>
        <name val="Calibri"/>
        <scheme val="minor"/>
      </font>
      <alignment horizontal="left" vertical="bottom" textRotation="0" wrapText="1" indent="0" relativeIndent="255" justifyLastLine="0" shrinkToFit="0" mergeCell="0" readingOrder="0"/>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activeX1.xml><?xml version="1.0" encoding="utf-8"?>
<ax:ocx xmlns:ax="http://schemas.microsoft.com/office/2006/activeX" xmlns:r="http://schemas.openxmlformats.org/officeDocument/2006/relationships" ax:classid="{D7053240-CE69-11CD-A777-00DD01143C57}" ax:persistence="persistPropertyBag">
  <ax:ocxPr ax:name="BackColor" ax:value="16776960"/>
  <ax:ocxPr ax:name="Caption" ax:value="ADD TO REPORT"/>
  <ax:ocxPr ax:name="Size" ax:value="4260;1402"/>
  <ax:ocxPr ax:name="FontName" ax:value="Calibri"/>
  <ax:ocxPr ax:name="FontHeight" ax:value="225"/>
  <ax:ocxPr ax:name="FontCharSet" ax:value="0"/>
  <ax:ocxPr ax:name="FontPitchAndFamily" ax:value="2"/>
  <ax:ocxPr ax:name="ParagraphAlign" ax:value="3"/>
</ax:ocx>
</file>

<file path=xl/activeX/activeX2.xml><?xml version="1.0" encoding="utf-8"?>
<ax:ocx xmlns:ax="http://schemas.microsoft.com/office/2006/activeX" xmlns:r="http://schemas.openxmlformats.org/officeDocument/2006/relationships" ax:classid="{D7053240-CE69-11CD-A777-00DD01143C57}" ax:persistence="persistPropertyBag">
  <ax:ocxPr ax:name="BackColor" ax:value="33023"/>
  <ax:ocxPr ax:name="Caption" ax:value="SAVE FILE IN EXCEL"/>
  <ax:ocxPr ax:name="Size" ax:value="4366;1508"/>
  <ax:ocxPr ax:name="FontName" ax:value="Calibri"/>
  <ax:ocxPr ax:name="FontHeight" ax:value="225"/>
  <ax:ocxPr ax:name="FontCharSet" ax:value="0"/>
  <ax:ocxPr ax:name="FontPitchAndFamily" ax:value="2"/>
  <ax:ocxPr ax:name="ParagraphAlign" ax:value="3"/>
</ax:ocx>
</file>

<file path=xl/activeX/activeX3.xml><?xml version="1.0" encoding="utf-8"?>
<ax:ocx xmlns:ax="http://schemas.microsoft.com/office/2006/activeX" xmlns:r="http://schemas.openxmlformats.org/officeDocument/2006/relationships" ax:classid="{D7053240-CE69-11CD-A777-00DD01143C57}" ax:persistence="persistPropertyBag">
  <ax:ocxPr ax:name="BackColor" ax:value="16711935"/>
  <ax:ocxPr ax:name="Caption" ax:value="EXPORT pdf"/>
  <ax:ocxPr ax:name="Size" ax:value="3942;1614"/>
  <ax:ocxPr ax:name="FontName" ax:value="Calibri"/>
  <ax:ocxPr ax:name="FontHeight" ax:value="225"/>
  <ax:ocxPr ax:name="FontCharSet" ax:value="0"/>
  <ax:ocxPr ax:name="FontPitchAndFamily" ax:value="2"/>
  <ax:ocxPr ax:name="ParagraphAlign" ax:value="3"/>
</ax:ocx>
</file>

<file path=xl/activeX/activeX4.xml><?xml version="1.0" encoding="utf-8"?>
<ax:ocx xmlns:ax="http://schemas.microsoft.com/office/2006/activeX" xmlns:r="http://schemas.openxmlformats.org/officeDocument/2006/relationships" ax:classid="{D7053240-CE69-11CD-A777-00DD01143C57}" ax:persistence="persistPropertyBag">
  <ax:ocxPr ax:name="BackColor" ax:value="65280"/>
  <ax:ocxPr ax:name="Caption" ax:value="CLEAR DATA "/>
  <ax:ocxPr ax:name="Size" ax:value="4260;1455"/>
  <ax:ocxPr ax:name="FontName" ax:value="Calibri"/>
  <ax:ocxPr ax:name="FontHeight" ax:value="225"/>
  <ax:ocxPr ax:name="FontCharSet" ax:value="0"/>
  <ax:ocxPr ax:name="FontPitchAndFamily" ax:value="2"/>
  <ax:ocxPr ax:name="ParagraphAlign" ax:value="3"/>
</ax:ocx>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7.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0</xdr:colOff>
      <xdr:row>32</xdr:row>
      <xdr:rowOff>227135</xdr:rowOff>
    </xdr:from>
    <xdr:to>
      <xdr:col>1</xdr:col>
      <xdr:colOff>1181099</xdr:colOff>
      <xdr:row>34</xdr:row>
      <xdr:rowOff>29307</xdr:rowOff>
    </xdr:to>
    <xdr:sp macro="" textlink="">
      <xdr:nvSpPr>
        <xdr:cNvPr id="7" name="TextBox 6">
          <a:extLst>
            <a:ext uri="{FF2B5EF4-FFF2-40B4-BE49-F238E27FC236}">
              <a16:creationId xmlns:a16="http://schemas.microsoft.com/office/drawing/2014/main" xmlns="" id="{00000000-0008-0000-0000-000007000000}"/>
            </a:ext>
          </a:extLst>
        </xdr:cNvPr>
        <xdr:cNvSpPr txBox="1"/>
      </xdr:nvSpPr>
      <xdr:spPr>
        <a:xfrm>
          <a:off x="0" y="7999535"/>
          <a:ext cx="1724024" cy="2974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b="1"/>
        </a:p>
      </xdr:txBody>
    </xdr:sp>
    <xdr:clientData/>
  </xdr:twoCellAnchor>
  <xdr:twoCellAnchor editAs="oneCell">
    <xdr:from>
      <xdr:col>0</xdr:col>
      <xdr:colOff>0</xdr:colOff>
      <xdr:row>32</xdr:row>
      <xdr:rowOff>227135</xdr:rowOff>
    </xdr:from>
    <xdr:to>
      <xdr:col>1</xdr:col>
      <xdr:colOff>1407964</xdr:colOff>
      <xdr:row>33</xdr:row>
      <xdr:rowOff>217250</xdr:rowOff>
    </xdr:to>
    <xdr:pic>
      <xdr:nvPicPr>
        <xdr:cNvPr id="14" name="Picture 13"/>
        <xdr:cNvPicPr>
          <a:picLocks noChangeAspect="1"/>
        </xdr:cNvPicPr>
      </xdr:nvPicPr>
      <xdr:blipFill>
        <a:blip xmlns:r="http://schemas.openxmlformats.org/officeDocument/2006/relationships" r:embed="rId1" cstate="print"/>
        <a:stretch>
          <a:fillRect/>
        </a:stretch>
      </xdr:blipFill>
      <xdr:spPr>
        <a:xfrm>
          <a:off x="0" y="7999535"/>
          <a:ext cx="1950889" cy="237765"/>
        </a:xfrm>
        <a:prstGeom prst="rect">
          <a:avLst/>
        </a:prstGeom>
      </xdr:spPr>
    </xdr:pic>
    <xdr:clientData/>
  </xdr:twoCellAnchor>
  <xdr:oneCellAnchor>
    <xdr:from>
      <xdr:col>7</xdr:col>
      <xdr:colOff>407384</xdr:colOff>
      <xdr:row>6</xdr:row>
      <xdr:rowOff>9525</xdr:rowOff>
    </xdr:from>
    <xdr:ext cx="4654479" cy="1782924"/>
    <xdr:sp macro="" textlink="">
      <xdr:nvSpPr>
        <xdr:cNvPr id="5" name="Rectangle 4"/>
        <xdr:cNvSpPr/>
      </xdr:nvSpPr>
      <xdr:spPr>
        <a:xfrm>
          <a:off x="7303484" y="1400175"/>
          <a:ext cx="4654479" cy="1782924"/>
        </a:xfrm>
        <a:prstGeom prst="rect">
          <a:avLst/>
        </a:prstGeom>
        <a:noFill/>
      </xdr:spPr>
      <xdr:txBody>
        <a:bodyPr wrap="square" lIns="91440" tIns="45720" rIns="91440" bIns="45720">
          <a:spAutoFit/>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algn="ctr"/>
          <a:r>
            <a:rPr lang="en-US" sz="5400" b="1" cap="all" spc="0">
              <a:ln w="0"/>
              <a:solidFill>
                <a:schemeClr val="tx1"/>
              </a:solidFill>
              <a:effectLst>
                <a:reflection blurRad="12700" stA="50000" endPos="50000" dist="5000" dir="5400000" sy="-100000" rotWithShape="0"/>
              </a:effectLst>
            </a:rPr>
            <a:t>press</a:t>
          </a:r>
          <a:r>
            <a:rPr lang="en-US" sz="5400" b="1" cap="all" spc="0" baseline="0">
              <a:ln w="0"/>
              <a:solidFill>
                <a:schemeClr val="tx1"/>
              </a:solidFill>
              <a:effectLst>
                <a:reflection blurRad="12700" stA="50000" endPos="50000" dist="5000" dir="5400000" sy="-100000" rotWithShape="0"/>
              </a:effectLst>
            </a:rPr>
            <a:t> ctrl+f2 </a:t>
          </a:r>
        </a:p>
        <a:p>
          <a:pPr algn="ctr"/>
          <a:r>
            <a:rPr lang="en-US" sz="5400" b="1" cap="all" spc="0" baseline="0">
              <a:ln w="0"/>
              <a:solidFill>
                <a:schemeClr val="tx1"/>
              </a:solidFill>
              <a:effectLst>
                <a:reflection blurRad="12700" stA="50000" endPos="50000" dist="5000" dir="5400000" sy="-100000" rotWithShape="0"/>
              </a:effectLst>
            </a:rPr>
            <a:t>to preview </a:t>
          </a:r>
          <a:endParaRPr lang="en-US" sz="5400" b="1" cap="all" spc="0">
            <a:ln w="0"/>
            <a:solidFill>
              <a:schemeClr val="tx1"/>
            </a:solidFill>
            <a:effectLst>
              <a:reflection blurRad="12700" stA="50000" endPos="50000" dist="5000" dir="5400000" sy="-100000" rotWithShape="0"/>
            </a:effectLst>
          </a:endParaRPr>
        </a:p>
      </xdr:txBody>
    </xdr:sp>
    <xdr:clientData/>
  </xdr:oneCellAnchor>
  <xdr:oneCellAnchor>
    <xdr:from>
      <xdr:col>5</xdr:col>
      <xdr:colOff>1076326</xdr:colOff>
      <xdr:row>1</xdr:row>
      <xdr:rowOff>361950</xdr:rowOff>
    </xdr:from>
    <xdr:ext cx="5543550" cy="906338"/>
    <xdr:sp macro="" textlink="">
      <xdr:nvSpPr>
        <xdr:cNvPr id="8" name="Rectangle 7"/>
        <xdr:cNvSpPr/>
      </xdr:nvSpPr>
      <xdr:spPr>
        <a:xfrm>
          <a:off x="6886576" y="619125"/>
          <a:ext cx="5543550" cy="906338"/>
        </a:xfrm>
        <a:prstGeom prst="rect">
          <a:avLst/>
        </a:prstGeom>
        <a:noFill/>
      </xdr:spPr>
      <xdr:txBody>
        <a:bodyPr wrap="square" lIns="91440" tIns="45720" rIns="91440" bIns="45720">
          <a:spAutoFit/>
        </a:bodyPr>
        <a:lstStyle/>
        <a:p>
          <a:pPr algn="ctr"/>
          <a:r>
            <a:rPr lang="en-US" sz="2400" b="1" cap="none" spc="0">
              <a:ln w="10541" cmpd="sng">
                <a:solidFill>
                  <a:schemeClr val="accent1">
                    <a:shade val="88000"/>
                    <a:satMod val="110000"/>
                  </a:schemeClr>
                </a:solidFill>
                <a:prstDash val="solid"/>
              </a:ln>
              <a:solidFill>
                <a:schemeClr val="tx1"/>
              </a:solidFill>
              <a:effectLst/>
            </a:rPr>
            <a:t>DEVELOPER:</a:t>
          </a:r>
          <a:r>
            <a:rPr lang="en-US" sz="2400" b="1" cap="none" spc="0" baseline="0">
              <a:ln w="10541" cmpd="sng">
                <a:solidFill>
                  <a:schemeClr val="accent1">
                    <a:shade val="88000"/>
                    <a:satMod val="110000"/>
                  </a:schemeClr>
                </a:solidFill>
                <a:prstDash val="solid"/>
              </a:ln>
              <a:solidFill>
                <a:schemeClr val="tx1"/>
              </a:solidFill>
              <a:effectLst/>
            </a:rPr>
            <a:t> </a:t>
          </a:r>
          <a:r>
            <a:rPr lang="en-US" sz="2400" b="1" cap="none" spc="0" baseline="0">
              <a:ln w="10541" cmpd="sng">
                <a:solidFill>
                  <a:schemeClr val="accent1">
                    <a:shade val="88000"/>
                    <a:satMod val="110000"/>
                  </a:schemeClr>
                </a:solidFill>
                <a:prstDash val="solid"/>
              </a:ln>
              <a:gradFill>
                <a:gsLst>
                  <a:gs pos="0">
                    <a:schemeClr val="accent1">
                      <a:tint val="40000"/>
                      <a:satMod val="250000"/>
                    </a:schemeClr>
                  </a:gs>
                  <a:gs pos="9000">
                    <a:schemeClr val="accent1">
                      <a:tint val="52000"/>
                      <a:satMod val="300000"/>
                    </a:schemeClr>
                  </a:gs>
                  <a:gs pos="50000">
                    <a:schemeClr val="accent1">
                      <a:shade val="20000"/>
                      <a:satMod val="300000"/>
                    </a:schemeClr>
                  </a:gs>
                  <a:gs pos="79000">
                    <a:schemeClr val="accent1">
                      <a:tint val="52000"/>
                      <a:satMod val="300000"/>
                    </a:schemeClr>
                  </a:gs>
                  <a:gs pos="100000">
                    <a:schemeClr val="accent1">
                      <a:tint val="40000"/>
                      <a:satMod val="250000"/>
                    </a:schemeClr>
                  </a:gs>
                </a:gsLst>
                <a:lin ang="5400000"/>
              </a:gradFill>
              <a:effectLst/>
            </a:rPr>
            <a:t>LOGIC INSTRUMENTS</a:t>
          </a:r>
        </a:p>
        <a:p>
          <a:pPr algn="ctr"/>
          <a:r>
            <a:rPr lang="en-US" sz="1400" b="1" cap="none" spc="0" baseline="0">
              <a:ln w="10541" cmpd="sng">
                <a:solidFill>
                  <a:schemeClr val="accent1">
                    <a:shade val="88000"/>
                    <a:satMod val="110000"/>
                  </a:schemeClr>
                </a:solidFill>
                <a:prstDash val="solid"/>
              </a:ln>
              <a:gradFill>
                <a:gsLst>
                  <a:gs pos="0">
                    <a:schemeClr val="accent1">
                      <a:tint val="40000"/>
                      <a:satMod val="250000"/>
                    </a:schemeClr>
                  </a:gs>
                  <a:gs pos="9000">
                    <a:schemeClr val="accent1">
                      <a:tint val="52000"/>
                      <a:satMod val="300000"/>
                    </a:schemeClr>
                  </a:gs>
                  <a:gs pos="50000">
                    <a:schemeClr val="accent1">
                      <a:shade val="20000"/>
                      <a:satMod val="300000"/>
                    </a:schemeClr>
                  </a:gs>
                  <a:gs pos="79000">
                    <a:schemeClr val="accent1">
                      <a:tint val="52000"/>
                      <a:satMod val="300000"/>
                    </a:schemeClr>
                  </a:gs>
                  <a:gs pos="100000">
                    <a:schemeClr val="accent1">
                      <a:tint val="40000"/>
                      <a:satMod val="250000"/>
                    </a:schemeClr>
                  </a:gs>
                </a:gsLst>
                <a:lin ang="5400000"/>
              </a:gradFill>
              <a:effectLst/>
            </a:rPr>
            <a:t>7010210020, 9551783347 , s.logeshkarthik@gmail.com, logic_instruments@yahoo.in</a:t>
          </a:r>
          <a:endParaRPr lang="en-US" sz="1400" b="1" cap="none" spc="0">
            <a:ln w="10541" cmpd="sng">
              <a:solidFill>
                <a:schemeClr val="accent1">
                  <a:shade val="88000"/>
                  <a:satMod val="110000"/>
                </a:schemeClr>
              </a:solidFill>
              <a:prstDash val="solid"/>
            </a:ln>
            <a:gradFill>
              <a:gsLst>
                <a:gs pos="0">
                  <a:schemeClr val="accent1">
                    <a:tint val="40000"/>
                    <a:satMod val="250000"/>
                  </a:schemeClr>
                </a:gs>
                <a:gs pos="9000">
                  <a:schemeClr val="accent1">
                    <a:tint val="52000"/>
                    <a:satMod val="300000"/>
                  </a:schemeClr>
                </a:gs>
                <a:gs pos="50000">
                  <a:schemeClr val="accent1">
                    <a:shade val="20000"/>
                    <a:satMod val="300000"/>
                  </a:schemeClr>
                </a:gs>
                <a:gs pos="79000">
                  <a:schemeClr val="accent1">
                    <a:tint val="52000"/>
                    <a:satMod val="300000"/>
                  </a:schemeClr>
                </a:gs>
                <a:gs pos="100000">
                  <a:schemeClr val="accent1">
                    <a:tint val="40000"/>
                    <a:satMod val="250000"/>
                  </a:schemeClr>
                </a:gs>
              </a:gsLst>
              <a:lin ang="5400000"/>
            </a:gradFill>
            <a:effectLst/>
          </a:endParaRPr>
        </a:p>
      </xdr:txBody>
    </xdr:sp>
    <xdr:clientData/>
  </xdr:oneCellAnchor>
  <xdr:twoCellAnchor editAs="oneCell">
    <xdr:from>
      <xdr:col>0</xdr:col>
      <xdr:colOff>142875</xdr:colOff>
      <xdr:row>1</xdr:row>
      <xdr:rowOff>138022</xdr:rowOff>
    </xdr:from>
    <xdr:to>
      <xdr:col>1</xdr:col>
      <xdr:colOff>561975</xdr:colOff>
      <xdr:row>5</xdr:row>
      <xdr:rowOff>133351</xdr:rowOff>
    </xdr:to>
    <xdr:pic>
      <xdr:nvPicPr>
        <xdr:cNvPr id="11" name="Picture 9"/>
        <xdr:cNvPicPr>
          <a:picLocks noChangeAspect="1" noChangeArrowheads="1"/>
        </xdr:cNvPicPr>
      </xdr:nvPicPr>
      <xdr:blipFill>
        <a:blip xmlns:r="http://schemas.openxmlformats.org/officeDocument/2006/relationships" r:embed="rId2" cstate="print">
          <a:grayscl/>
          <a:lum/>
        </a:blip>
        <a:srcRect/>
        <a:stretch>
          <a:fillRect/>
        </a:stretch>
      </xdr:blipFill>
      <xdr:spPr bwMode="auto">
        <a:xfrm>
          <a:off x="142875" y="395197"/>
          <a:ext cx="923925" cy="928779"/>
        </a:xfrm>
        <a:prstGeom prst="rect">
          <a:avLst/>
        </a:prstGeom>
        <a:noFill/>
      </xdr:spPr>
    </xdr:pic>
    <xdr:clientData/>
  </xdr:twoCellAnchor>
</xdr:wsDr>
</file>

<file path=xl/drawings/drawing2.xml><?xml version="1.0" encoding="utf-8"?>
<xdr:wsDr xmlns:xdr="http://schemas.openxmlformats.org/drawingml/2006/spreadsheetDrawing" xmlns:a="http://schemas.openxmlformats.org/drawingml/2006/main">
  <xdr:oneCellAnchor>
    <xdr:from>
      <xdr:col>15</xdr:col>
      <xdr:colOff>142874</xdr:colOff>
      <xdr:row>3</xdr:row>
      <xdr:rowOff>76200</xdr:rowOff>
    </xdr:from>
    <xdr:ext cx="2971801" cy="1094274"/>
    <xdr:sp macro="" textlink="">
      <xdr:nvSpPr>
        <xdr:cNvPr id="2" name="Rectangle 1"/>
        <xdr:cNvSpPr/>
      </xdr:nvSpPr>
      <xdr:spPr>
        <a:xfrm>
          <a:off x="8667749" y="647700"/>
          <a:ext cx="2971801" cy="1094274"/>
        </a:xfrm>
        <a:prstGeom prst="rect">
          <a:avLst/>
        </a:prstGeom>
        <a:noFill/>
      </xdr:spPr>
      <xdr:txBody>
        <a:bodyPr wrap="square" lIns="91440" tIns="45720" rIns="91440" bIns="45720">
          <a:spAutoFit/>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algn="l"/>
          <a:r>
            <a:rPr lang="en-US" sz="3200" b="1" cap="all" spc="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reflection blurRad="12700" stA="50000" endPos="50000" dist="5000" dir="5400000" sy="-100000" rotWithShape="0"/>
              </a:effectLst>
            </a:rPr>
            <a:t>LOGIC</a:t>
          </a:r>
          <a:r>
            <a:rPr lang="en-US" sz="3200" b="1" cap="all" spc="0" baseline="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reflection blurRad="12700" stA="50000" endPos="50000" dist="5000" dir="5400000" sy="-100000" rotWithShape="0"/>
              </a:effectLst>
            </a:rPr>
            <a:t> INSTRUMENTS</a:t>
          </a:r>
          <a:endParaRPr lang="en-US" sz="3200" b="1" cap="all" spc="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reflection blurRad="12700" stA="50000" endPos="50000" dist="5000" dir="5400000" sy="-100000" rotWithShape="0"/>
            </a:effectLst>
          </a:endParaRPr>
        </a:p>
      </xdr:txBody>
    </xdr:sp>
    <xdr:clientData/>
  </xdr:oneCellAnchor>
  <xdr:twoCellAnchor editAs="oneCell">
    <xdr:from>
      <xdr:col>13</xdr:col>
      <xdr:colOff>323850</xdr:colOff>
      <xdr:row>3</xdr:row>
      <xdr:rowOff>104775</xdr:rowOff>
    </xdr:from>
    <xdr:to>
      <xdr:col>15</xdr:col>
      <xdr:colOff>143020</xdr:colOff>
      <xdr:row>9</xdr:row>
      <xdr:rowOff>38250</xdr:rowOff>
    </xdr:to>
    <xdr:pic>
      <xdr:nvPicPr>
        <xdr:cNvPr id="3" name="Picture 2" descr="logo.jpg"/>
        <xdr:cNvPicPr>
          <a:picLocks noChangeAspect="1"/>
        </xdr:cNvPicPr>
      </xdr:nvPicPr>
      <xdr:blipFill>
        <a:blip xmlns:r="http://schemas.openxmlformats.org/officeDocument/2006/relationships" r:embed="rId1"/>
        <a:stretch>
          <a:fillRect/>
        </a:stretch>
      </xdr:blipFill>
      <xdr:spPr>
        <a:xfrm>
          <a:off x="7629525" y="676275"/>
          <a:ext cx="1038370" cy="1076475"/>
        </a:xfrm>
        <a:prstGeom prst="rect">
          <a:avLst/>
        </a:prstGeom>
      </xdr:spPr>
    </xdr:pic>
    <xdr:clientData/>
  </xdr:twoCellAnchor>
  <xdr:oneCellAnchor>
    <xdr:from>
      <xdr:col>11</xdr:col>
      <xdr:colOff>293624</xdr:colOff>
      <xdr:row>10</xdr:row>
      <xdr:rowOff>124364</xdr:rowOff>
    </xdr:from>
    <xdr:ext cx="5298310" cy="593239"/>
    <xdr:sp macro="" textlink="">
      <xdr:nvSpPr>
        <xdr:cNvPr id="4" name="Rectangle 3"/>
        <xdr:cNvSpPr/>
      </xdr:nvSpPr>
      <xdr:spPr>
        <a:xfrm>
          <a:off x="6684899" y="2029364"/>
          <a:ext cx="5298310" cy="593239"/>
        </a:xfrm>
        <a:prstGeom prst="rect">
          <a:avLst/>
        </a:prstGeom>
        <a:noFill/>
      </xdr:spPr>
      <xdr:txBody>
        <a:bodyPr wrap="none" lIns="91440" tIns="45720" rIns="91440" bIns="45720">
          <a:spAutoFit/>
        </a:bodyPr>
        <a:lstStyle/>
        <a:p>
          <a:pPr lvl="1" algn="ctr"/>
          <a:r>
            <a:rPr lang="en-US" sz="1600" b="1" cap="none" spc="0">
              <a:ln w="10541" cmpd="sng">
                <a:solidFill>
                  <a:schemeClr val="accent1">
                    <a:shade val="88000"/>
                    <a:satMod val="110000"/>
                  </a:schemeClr>
                </a:solidFill>
                <a:prstDash val="solid"/>
              </a:ln>
              <a:solidFill>
                <a:schemeClr val="tx1"/>
              </a:solidFill>
              <a:effectLst/>
            </a:rPr>
            <a:t>UPGRADE</a:t>
          </a:r>
          <a:r>
            <a:rPr lang="en-US" sz="1600" b="1" cap="none" spc="0" baseline="0">
              <a:ln w="10541" cmpd="sng">
                <a:solidFill>
                  <a:schemeClr val="accent1">
                    <a:shade val="88000"/>
                    <a:satMod val="110000"/>
                  </a:schemeClr>
                </a:solidFill>
                <a:prstDash val="solid"/>
              </a:ln>
              <a:solidFill>
                <a:schemeClr val="tx1"/>
              </a:solidFill>
              <a:effectLst/>
            </a:rPr>
            <a:t> YOUR BUSINESS WITH AUTOMATIC INVOICE</a:t>
          </a:r>
        </a:p>
        <a:p>
          <a:pPr algn="ctr"/>
          <a:r>
            <a:rPr lang="en-US" sz="1600" b="1" cap="none" spc="0" baseline="0">
              <a:ln w="10541" cmpd="sng">
                <a:solidFill>
                  <a:schemeClr val="accent1">
                    <a:shade val="88000"/>
                    <a:satMod val="110000"/>
                  </a:schemeClr>
                </a:solidFill>
                <a:prstDash val="solid"/>
              </a:ln>
              <a:solidFill>
                <a:schemeClr val="tx1"/>
              </a:solidFill>
              <a:effectLst/>
            </a:rPr>
            <a:t> AND SALES INFORMATION REPORT</a:t>
          </a:r>
          <a:endParaRPr lang="en-US" sz="1600" b="1" cap="none" spc="0">
            <a:ln w="10541" cmpd="sng">
              <a:solidFill>
                <a:schemeClr val="accent1">
                  <a:shade val="88000"/>
                  <a:satMod val="110000"/>
                </a:schemeClr>
              </a:solidFill>
              <a:prstDash val="solid"/>
            </a:ln>
            <a:solidFill>
              <a:schemeClr val="tx1"/>
            </a:solidFill>
            <a:effectLst/>
          </a:endParaRPr>
        </a:p>
      </xdr:txBody>
    </xdr:sp>
    <xdr:clientData/>
  </xdr:oneCellAnchor>
</xdr:wsDr>
</file>

<file path=xl/tables/table1.xml><?xml version="1.0" encoding="utf-8"?>
<table xmlns="http://schemas.openxmlformats.org/spreadsheetml/2006/main" id="1" name="Table1" displayName="Table1" ref="A1:E786" totalsRowShown="0" headerRowDxfId="12" dataDxfId="11">
  <autoFilter ref="A1:E786"/>
  <tableColumns count="5">
    <tableColumn id="1" name="lookup.No" dataDxfId="10">
      <calculatedColumnFormula>IF(ISNUMBER(SEARCH(My_Sheet!$B$8,B2)),MAX($A$1:A1)+1,0)</calculatedColumnFormula>
    </tableColumn>
    <tableColumn id="2" name="Name" dataDxfId="9"/>
    <tableColumn id="3" name="Address" dataDxfId="8"/>
    <tableColumn id="4" name="CONTACT NUMBER" dataDxfId="7"/>
    <tableColumn id="5" name="GST NO" dataDxfId="6"/>
  </tableColumns>
  <tableStyleInfo name="TableStyleMedium2" showFirstColumn="0" showLastColumn="0" showRowStripes="1" showColumnStripes="0"/>
</table>
</file>

<file path=xl/tables/table2.xml><?xml version="1.0" encoding="utf-8"?>
<table xmlns="http://schemas.openxmlformats.org/spreadsheetml/2006/main" id="2" name="Table2" displayName="Table2" ref="A1:D19" totalsRowShown="0" headerRowDxfId="5" dataDxfId="4">
  <autoFilter ref="A1:D19"/>
  <tableColumns count="4">
    <tableColumn id="1" name="S.NO" dataDxfId="3">
      <calculatedColumnFormula>IF(ISNUMBER(SEARCH(My_Sheet!$B$14,B2)),MAX($A$1:A1)+1,0)</calculatedColumnFormula>
    </tableColumn>
    <tableColumn id="2" name="PRODUCT" dataDxfId="2"/>
    <tableColumn id="3" name="HSNCODE" dataDxfId="1"/>
    <tableColumn id="4" name="RA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ontrol" Target="../activeX/activeX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3.xml"/><Relationship Id="rId5" Type="http://schemas.openxmlformats.org/officeDocument/2006/relationships/control" Target="../activeX/activeX2.xml"/><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sheetPr codeName="Sheet1">
    <pageSetUpPr fitToPage="1"/>
  </sheetPr>
  <dimension ref="A1:O42"/>
  <sheetViews>
    <sheetView showZeros="0" tabSelected="1" showWhiteSpace="0" topLeftCell="A11" zoomScalePageLayoutView="106" workbookViewId="0">
      <selection activeCell="C10" sqref="C10:D10"/>
    </sheetView>
  </sheetViews>
  <sheetFormatPr defaultRowHeight="15"/>
  <cols>
    <col min="1" max="1" width="7.5703125" style="10" customWidth="1"/>
    <col min="2" max="2" width="44.5703125" style="10" customWidth="1"/>
    <col min="3" max="3" width="11.42578125" style="10" customWidth="1"/>
    <col min="4" max="4" width="10" style="10" customWidth="1"/>
    <col min="5" max="5" width="13.5703125" style="10" customWidth="1"/>
    <col min="6" max="6" width="16.28515625" style="10" customWidth="1"/>
    <col min="7" max="7" width="9.140625" style="10" hidden="1" customWidth="1"/>
    <col min="8" max="9" width="13.140625" style="10" customWidth="1"/>
    <col min="10" max="16384" width="9.140625" style="10"/>
  </cols>
  <sheetData>
    <row r="1" spans="1:15" ht="20.25" customHeight="1">
      <c r="A1" s="142" t="s">
        <v>27</v>
      </c>
      <c r="B1" s="143"/>
      <c r="C1" s="143"/>
      <c r="D1" s="143"/>
      <c r="E1" s="143"/>
      <c r="F1" s="144"/>
    </row>
    <row r="2" spans="1:15" ht="30.75" customHeight="1">
      <c r="A2" s="74"/>
      <c r="B2" s="162" t="s">
        <v>49</v>
      </c>
      <c r="C2" s="163"/>
      <c r="D2" s="163"/>
      <c r="E2" s="163"/>
      <c r="F2" s="75"/>
      <c r="H2" s="11"/>
      <c r="I2" s="11"/>
      <c r="J2" s="11"/>
      <c r="K2" s="11"/>
      <c r="L2" s="11"/>
      <c r="M2" s="11"/>
      <c r="N2" s="11"/>
      <c r="O2" s="11"/>
    </row>
    <row r="3" spans="1:15" ht="14.25" customHeight="1">
      <c r="A3" s="76"/>
      <c r="B3" s="93" t="s">
        <v>50</v>
      </c>
      <c r="C3" s="93"/>
      <c r="D3" s="93"/>
      <c r="E3" s="93"/>
      <c r="F3" s="77"/>
      <c r="H3" s="11"/>
      <c r="I3" s="11"/>
      <c r="J3" s="11"/>
      <c r="K3" s="11"/>
      <c r="L3" s="11"/>
      <c r="M3" s="11"/>
      <c r="N3" s="11"/>
      <c r="O3" s="11"/>
    </row>
    <row r="4" spans="1:15" ht="13.5" customHeight="1">
      <c r="A4" s="76"/>
      <c r="B4" s="93" t="s">
        <v>51</v>
      </c>
      <c r="C4" s="93"/>
      <c r="D4" s="93"/>
      <c r="E4" s="93"/>
      <c r="F4" s="78"/>
      <c r="H4" s="11"/>
      <c r="I4" s="11"/>
      <c r="J4" s="11"/>
      <c r="K4" s="11"/>
      <c r="L4" s="11"/>
      <c r="M4" s="11"/>
      <c r="N4" s="11"/>
      <c r="O4" s="11"/>
    </row>
    <row r="5" spans="1:15" ht="15" customHeight="1">
      <c r="A5" s="76"/>
      <c r="B5" s="93" t="s">
        <v>52</v>
      </c>
      <c r="C5" s="93"/>
      <c r="D5" s="93"/>
      <c r="E5" s="93"/>
      <c r="F5" s="94"/>
      <c r="H5" s="11"/>
      <c r="I5" s="11"/>
      <c r="J5" s="11"/>
      <c r="K5" s="11"/>
      <c r="L5" s="11"/>
      <c r="M5" s="11"/>
      <c r="N5" s="11"/>
      <c r="O5" s="11"/>
    </row>
    <row r="6" spans="1:15" ht="15" customHeight="1">
      <c r="A6" s="76"/>
      <c r="B6" s="126" t="s">
        <v>53</v>
      </c>
      <c r="C6" s="127"/>
      <c r="D6" s="127"/>
      <c r="E6" s="127"/>
      <c r="F6" s="78"/>
      <c r="H6" s="11"/>
      <c r="I6" s="11"/>
      <c r="J6" s="11"/>
      <c r="K6" s="11"/>
      <c r="L6" s="11"/>
      <c r="M6" s="11"/>
      <c r="N6" s="11"/>
      <c r="O6" s="11"/>
    </row>
    <row r="7" spans="1:15" ht="15.75" customHeight="1">
      <c r="A7" s="95" t="s">
        <v>54</v>
      </c>
      <c r="B7" s="96"/>
      <c r="C7" s="96"/>
      <c r="D7" s="96"/>
      <c r="E7" s="96"/>
      <c r="F7" s="97"/>
      <c r="H7" s="11"/>
      <c r="I7" s="11"/>
      <c r="J7" s="11"/>
      <c r="K7" s="11"/>
      <c r="L7" s="12"/>
      <c r="M7" s="11"/>
      <c r="N7" s="11"/>
      <c r="O7" s="11"/>
    </row>
    <row r="8" spans="1:15" ht="15.75">
      <c r="A8" s="46" t="s">
        <v>22</v>
      </c>
      <c r="B8" s="13"/>
      <c r="C8" s="151" t="s">
        <v>40</v>
      </c>
      <c r="D8" s="151"/>
      <c r="E8" s="14">
        <v>9</v>
      </c>
      <c r="F8" s="15"/>
      <c r="G8" s="16" t="e">
        <f>LEFT(E8,FIND("/",E8,1)-1)</f>
        <v>#VALUE!</v>
      </c>
      <c r="H8" s="17"/>
      <c r="I8" s="11"/>
      <c r="J8" s="11"/>
      <c r="K8" s="11"/>
      <c r="L8" s="11"/>
      <c r="M8" s="11"/>
      <c r="N8" s="11"/>
      <c r="O8" s="11"/>
    </row>
    <row r="9" spans="1:15" ht="21" customHeight="1">
      <c r="A9" s="47"/>
      <c r="B9" s="130" t="str">
        <f>IFERROR(INDEX(Table1[],MATCH(B8,CUSTOMER,0),3),"")  &amp;  "    " &amp;IFERROR(INDEX(Table1[],MATCH(B8,CUSTOMER,0),4),"")</f>
        <v xml:space="preserve">    </v>
      </c>
      <c r="C9" s="152" t="s">
        <v>41</v>
      </c>
      <c r="D9" s="153"/>
      <c r="E9" s="51">
        <f ca="1">TODAY()</f>
        <v>43977</v>
      </c>
      <c r="F9" s="18"/>
      <c r="H9" s="11"/>
      <c r="I9" s="11"/>
      <c r="J9" s="11"/>
      <c r="K9" s="11"/>
      <c r="L9" s="11"/>
      <c r="M9" s="11"/>
      <c r="N9" s="11"/>
      <c r="O9" s="11"/>
    </row>
    <row r="10" spans="1:15" ht="21" customHeight="1">
      <c r="A10" s="48"/>
      <c r="B10" s="131"/>
      <c r="C10" s="152" t="s">
        <v>42</v>
      </c>
      <c r="D10" s="153"/>
      <c r="E10" s="128"/>
      <c r="F10" s="129"/>
      <c r="H10" s="11"/>
      <c r="I10" s="11"/>
      <c r="J10" s="11"/>
      <c r="K10" s="11"/>
      <c r="L10" s="11"/>
      <c r="M10" s="11"/>
      <c r="N10" s="11"/>
      <c r="O10" s="11"/>
    </row>
    <row r="11" spans="1:15" ht="21" customHeight="1">
      <c r="A11" s="48"/>
      <c r="B11" s="131"/>
      <c r="C11" s="154" t="s">
        <v>43</v>
      </c>
      <c r="D11" s="155"/>
      <c r="E11" s="156"/>
      <c r="F11" s="157"/>
      <c r="H11" s="11"/>
      <c r="I11" s="11"/>
      <c r="J11" s="11"/>
      <c r="K11" s="11"/>
      <c r="L11" s="11"/>
      <c r="M11" s="11"/>
      <c r="N11" s="11"/>
      <c r="O11" s="11"/>
    </row>
    <row r="12" spans="1:15" s="19" customFormat="1" ht="24" customHeight="1">
      <c r="A12" s="49"/>
      <c r="B12" s="50" t="str">
        <f xml:space="preserve"> "Party.Gst No:   " &amp;IFERROR(INDEX(Table1[],MATCH(B8,CUSTOMER,0),5),"")</f>
        <v xml:space="preserve">Party.Gst No:   </v>
      </c>
      <c r="C12" s="137" t="s">
        <v>44</v>
      </c>
      <c r="D12" s="138"/>
      <c r="E12" s="139"/>
      <c r="F12" s="140"/>
      <c r="H12" s="17"/>
      <c r="I12" s="17"/>
      <c r="J12" s="17"/>
      <c r="K12" s="17"/>
      <c r="L12" s="17"/>
      <c r="M12" s="17"/>
      <c r="N12" s="17"/>
      <c r="O12" s="17"/>
    </row>
    <row r="13" spans="1:15" ht="31.5">
      <c r="A13" s="41" t="s">
        <v>10</v>
      </c>
      <c r="B13" s="41" t="s">
        <v>0</v>
      </c>
      <c r="C13" s="41" t="s">
        <v>1</v>
      </c>
      <c r="D13" s="41" t="s">
        <v>13</v>
      </c>
      <c r="E13" s="42" t="s">
        <v>2</v>
      </c>
      <c r="F13" s="41" t="s">
        <v>3</v>
      </c>
      <c r="H13" s="20"/>
      <c r="I13" s="11"/>
      <c r="J13" s="11"/>
      <c r="K13" s="11"/>
      <c r="L13" s="11"/>
      <c r="M13" s="11"/>
      <c r="N13" s="11"/>
      <c r="O13" s="11"/>
    </row>
    <row r="14" spans="1:15" ht="15.75">
      <c r="A14" s="43" t="str">
        <f>IF(AND(B13&lt;&gt;"",B14&lt;&gt;""),ROW(B13)-12,"")</f>
        <v/>
      </c>
      <c r="B14" s="9"/>
      <c r="C14" s="43" t="str">
        <f>IFERROR(INDEX(Table2[],MATCH(B14,Table2[PRODUCT],0),3),"")</f>
        <v/>
      </c>
      <c r="D14" s="21"/>
      <c r="E14" s="72" t="str">
        <f>IFERROR(INDEX(Table2[],MATCH(B14,Table2[PRODUCT],0),4),"")</f>
        <v/>
      </c>
      <c r="F14" s="44" t="str">
        <f>IFERROR((D14*E14),"")</f>
        <v/>
      </c>
      <c r="G14" s="22"/>
      <c r="H14" s="23"/>
      <c r="I14" s="141" t="s">
        <v>39</v>
      </c>
      <c r="J14" s="141"/>
      <c r="K14" s="141"/>
      <c r="L14" s="141"/>
      <c r="M14" s="141"/>
      <c r="N14" s="141"/>
      <c r="O14" s="11"/>
    </row>
    <row r="15" spans="1:15" ht="15.75">
      <c r="A15" s="43" t="str">
        <f t="shared" ref="A15:A29" si="0">IF(AND(B14&lt;&gt;"",B15&lt;&gt;""),ROW(B14)-12,"")</f>
        <v/>
      </c>
      <c r="B15" s="9"/>
      <c r="C15" s="43" t="str">
        <f>IFERROR(INDEX(Table2[],MATCH(B15,Table2[PRODUCT],0),3),"")</f>
        <v/>
      </c>
      <c r="D15" s="21"/>
      <c r="E15" s="72" t="str">
        <f>IFERROR(INDEX(Table2[],MATCH(B15,Table2[PRODUCT],0),4),"")</f>
        <v/>
      </c>
      <c r="F15" s="44" t="str">
        <f t="shared" ref="F15:F28" si="1">IFERROR((D15*E15),"")</f>
        <v/>
      </c>
      <c r="H15" s="11"/>
      <c r="I15" s="141"/>
      <c r="J15" s="141"/>
      <c r="K15" s="141"/>
      <c r="L15" s="141"/>
      <c r="M15" s="141"/>
      <c r="N15" s="141"/>
      <c r="O15" s="11"/>
    </row>
    <row r="16" spans="1:15" ht="15.75">
      <c r="A16" s="43" t="str">
        <f t="shared" si="0"/>
        <v/>
      </c>
      <c r="B16" s="9"/>
      <c r="C16" s="43" t="str">
        <f>IFERROR(INDEX(Table2[],MATCH(B16,Table2[PRODUCT],0),3),"")</f>
        <v/>
      </c>
      <c r="D16" s="21"/>
      <c r="E16" s="72" t="str">
        <f>IFERROR(INDEX(Table2[],MATCH(B16,Table2[PRODUCT],0),4),"")</f>
        <v/>
      </c>
      <c r="F16" s="44" t="str">
        <f t="shared" si="1"/>
        <v/>
      </c>
      <c r="H16" s="11"/>
      <c r="I16" s="11"/>
      <c r="J16" s="11"/>
      <c r="K16" s="11"/>
      <c r="L16" s="11"/>
      <c r="M16" s="11"/>
      <c r="N16" s="11"/>
      <c r="O16" s="11"/>
    </row>
    <row r="17" spans="1:13" ht="15.75">
      <c r="A17" s="43" t="str">
        <f t="shared" si="0"/>
        <v/>
      </c>
      <c r="B17" s="9"/>
      <c r="C17" s="43" t="str">
        <f>IFERROR(INDEX(Table2[],MATCH(B17,Table2[PRODUCT],0),3),"")</f>
        <v/>
      </c>
      <c r="D17" s="21"/>
      <c r="E17" s="72" t="str">
        <f>IFERROR(INDEX(Table2[],MATCH(B17,Table2[PRODUCT],0),4),"")</f>
        <v/>
      </c>
      <c r="F17" s="44" t="str">
        <f t="shared" si="1"/>
        <v/>
      </c>
    </row>
    <row r="18" spans="1:13" ht="15.75">
      <c r="A18" s="43" t="str">
        <f t="shared" si="0"/>
        <v/>
      </c>
      <c r="B18" s="9"/>
      <c r="C18" s="43" t="str">
        <f>IFERROR(INDEX(Table2[],MATCH(B18,Table2[PRODUCT],0),3),"")</f>
        <v/>
      </c>
      <c r="D18" s="21"/>
      <c r="E18" s="72" t="str">
        <f>IFERROR(INDEX(Table2[],MATCH(B18,Table2[PRODUCT],0),4),"")</f>
        <v/>
      </c>
      <c r="F18" s="44" t="str">
        <f t="shared" si="1"/>
        <v/>
      </c>
    </row>
    <row r="19" spans="1:13" ht="15.75">
      <c r="A19" s="43" t="str">
        <f t="shared" si="0"/>
        <v/>
      </c>
      <c r="B19" s="9"/>
      <c r="C19" s="43" t="str">
        <f>IFERROR(INDEX(Table2[],MATCH(B19,Table2[PRODUCT],0),3),"")</f>
        <v/>
      </c>
      <c r="D19" s="21"/>
      <c r="E19" s="72" t="str">
        <f>IFERROR(INDEX(Table2[],MATCH(B19,Table2[PRODUCT],0),4),"")</f>
        <v/>
      </c>
      <c r="F19" s="44" t="str">
        <f t="shared" si="1"/>
        <v/>
      </c>
      <c r="H19" s="52"/>
      <c r="I19" s="52"/>
      <c r="J19" s="53"/>
      <c r="K19" s="52"/>
      <c r="L19" s="52"/>
      <c r="M19" s="52"/>
    </row>
    <row r="20" spans="1:13" ht="15.75">
      <c r="A20" s="43" t="str">
        <f>IF(AND(B19&lt;&gt;"",B20&lt;&gt;""),ROW(B19)-12,"")</f>
        <v/>
      </c>
      <c r="B20" s="9"/>
      <c r="C20" s="43" t="str">
        <f>IFERROR(INDEX(Table2[],MATCH(B20,Table2[PRODUCT],0),3),"")</f>
        <v/>
      </c>
      <c r="D20" s="21"/>
      <c r="E20" s="72" t="str">
        <f>IFERROR(INDEX(Table2[],MATCH(B20,Table2[PRODUCT],0),4),"")</f>
        <v/>
      </c>
      <c r="F20" s="44" t="str">
        <f t="shared" si="1"/>
        <v/>
      </c>
      <c r="H20" s="52"/>
      <c r="I20" s="52"/>
      <c r="J20" s="98" t="s">
        <v>47</v>
      </c>
      <c r="K20" s="98"/>
      <c r="L20" s="98"/>
      <c r="M20" s="98"/>
    </row>
    <row r="21" spans="1:13" ht="15.75">
      <c r="A21" s="43" t="str">
        <f t="shared" si="0"/>
        <v/>
      </c>
      <c r="B21" s="9"/>
      <c r="C21" s="43" t="str">
        <f>IFERROR(INDEX(Table2[],MATCH(B21,Table2[PRODUCT],0),3),"")</f>
        <v/>
      </c>
      <c r="D21" s="21"/>
      <c r="E21" s="72" t="str">
        <f>IFERROR(INDEX(Table2[],MATCH(B21,Table2[PRODUCT],0),4),"")</f>
        <v/>
      </c>
      <c r="F21" s="44" t="str">
        <f t="shared" si="1"/>
        <v/>
      </c>
      <c r="H21" s="52"/>
      <c r="I21" s="52"/>
      <c r="J21" s="98"/>
      <c r="K21" s="98"/>
      <c r="L21" s="98"/>
      <c r="M21" s="98"/>
    </row>
    <row r="22" spans="1:13" ht="15.75">
      <c r="A22" s="43" t="str">
        <f t="shared" si="0"/>
        <v/>
      </c>
      <c r="B22" s="9"/>
      <c r="C22" s="43" t="str">
        <f>IFERROR(INDEX(Table2[],MATCH(B22,Table2[PRODUCT],0),3),"")</f>
        <v/>
      </c>
      <c r="D22" s="21"/>
      <c r="E22" s="72" t="str">
        <f>IFERROR(INDEX(Table2[],MATCH(B22,Table2[PRODUCT],0),4),"")</f>
        <v/>
      </c>
      <c r="F22" s="44" t="str">
        <f t="shared" si="1"/>
        <v/>
      </c>
      <c r="H22" s="52"/>
      <c r="I22" s="52"/>
      <c r="J22" s="52"/>
      <c r="K22" s="52"/>
      <c r="L22" s="52"/>
      <c r="M22" s="52"/>
    </row>
    <row r="23" spans="1:13" ht="15.75">
      <c r="A23" s="43" t="str">
        <f>IF(AND(B22&lt;&gt;"",B23&lt;&gt;""),ROW(B22)-12,"")</f>
        <v/>
      </c>
      <c r="B23" s="9"/>
      <c r="C23" s="43" t="str">
        <f>IFERROR(INDEX(Table2[],MATCH(B23,Table2[PRODUCT],0),3),"")</f>
        <v/>
      </c>
      <c r="D23" s="21"/>
      <c r="E23" s="72" t="str">
        <f>IFERROR(INDEX(Table2[],MATCH(B23,Table2[PRODUCT],0),4),"")</f>
        <v/>
      </c>
      <c r="F23" s="44" t="str">
        <f t="shared" si="1"/>
        <v/>
      </c>
      <c r="H23" s="54"/>
      <c r="I23" s="54"/>
      <c r="J23" s="54"/>
      <c r="K23" s="54"/>
      <c r="L23" s="55"/>
      <c r="M23" s="54"/>
    </row>
    <row r="24" spans="1:13" ht="15.75">
      <c r="A24" s="43" t="str">
        <f t="shared" si="0"/>
        <v/>
      </c>
      <c r="B24" s="9"/>
      <c r="C24" s="43" t="str">
        <f>IFERROR(INDEX(Table2[],MATCH(B24,Table2[PRODUCT],0),3),"")</f>
        <v/>
      </c>
      <c r="D24" s="21"/>
      <c r="E24" s="72" t="str">
        <f>IFERROR(INDEX(Table2[],MATCH(B24,Table2[PRODUCT],0),4),"")</f>
        <v/>
      </c>
      <c r="F24" s="44" t="str">
        <f t="shared" si="1"/>
        <v/>
      </c>
      <c r="H24" s="54"/>
      <c r="I24" s="54"/>
      <c r="J24" s="165" t="s">
        <v>60</v>
      </c>
      <c r="K24" s="165"/>
      <c r="L24" s="165"/>
      <c r="M24" s="165"/>
    </row>
    <row r="25" spans="1:13" ht="15.75">
      <c r="A25" s="43" t="str">
        <f t="shared" si="0"/>
        <v/>
      </c>
      <c r="B25" s="9"/>
      <c r="C25" s="43" t="str">
        <f>IFERROR(INDEX(Table2[],MATCH(B25,Table2[PRODUCT],0),3),"")</f>
        <v/>
      </c>
      <c r="D25" s="21"/>
      <c r="E25" s="72" t="str">
        <f>IFERROR(INDEX(Table2[],MATCH(B25,Table2[PRODUCT],0),4),"")</f>
        <v/>
      </c>
      <c r="F25" s="44" t="str">
        <f>IFERROR((D25*E25),"")</f>
        <v/>
      </c>
      <c r="H25" s="54"/>
      <c r="I25" s="54"/>
      <c r="J25" s="165"/>
      <c r="K25" s="165"/>
      <c r="L25" s="165"/>
      <c r="M25" s="165"/>
    </row>
    <row r="26" spans="1:13" ht="15.75">
      <c r="A26" s="43" t="str">
        <f t="shared" si="0"/>
        <v/>
      </c>
      <c r="B26" s="9"/>
      <c r="C26" s="43" t="str">
        <f>IFERROR(INDEX(Table2[],MATCH(B26,Table2[PRODUCT],0),3),"")</f>
        <v/>
      </c>
      <c r="D26" s="21"/>
      <c r="E26" s="72" t="str">
        <f>IFERROR(INDEX(Table2[],MATCH(B26,Table2[PRODUCT],0),4),"")</f>
        <v/>
      </c>
      <c r="F26" s="44" t="str">
        <f t="shared" si="1"/>
        <v/>
      </c>
      <c r="H26" s="54"/>
      <c r="I26" s="54"/>
      <c r="J26" s="54"/>
      <c r="K26" s="54"/>
      <c r="L26" s="54"/>
      <c r="M26" s="54"/>
    </row>
    <row r="27" spans="1:13" ht="15.75">
      <c r="A27" s="43" t="str">
        <f t="shared" si="0"/>
        <v/>
      </c>
      <c r="B27" s="9"/>
      <c r="C27" s="43" t="str">
        <f>IFERROR(INDEX(Table2[],MATCH(B27,Table2[PRODUCT],0),3),"")</f>
        <v/>
      </c>
      <c r="D27" s="21"/>
      <c r="E27" s="72" t="str">
        <f>IFERROR(INDEX(Table2[],MATCH(B27,Table2[PRODUCT],0),4),"")</f>
        <v/>
      </c>
      <c r="F27" s="44" t="str">
        <f t="shared" si="1"/>
        <v/>
      </c>
      <c r="H27" s="52"/>
      <c r="I27" s="52"/>
      <c r="J27" s="52"/>
      <c r="K27" s="52"/>
      <c r="L27" s="52"/>
      <c r="M27" s="52"/>
    </row>
    <row r="28" spans="1:13" ht="15.75">
      <c r="A28" s="43" t="str">
        <f t="shared" si="0"/>
        <v/>
      </c>
      <c r="B28" s="9"/>
      <c r="C28" s="43" t="str">
        <f>IFERROR(INDEX(Table2[],MATCH(B28,Table2[PRODUCT],0),3),"")</f>
        <v/>
      </c>
      <c r="D28" s="21"/>
      <c r="E28" s="72" t="str">
        <f>IFERROR(INDEX(Table2[],MATCH(B28,Table2[PRODUCT],0),4),"")</f>
        <v/>
      </c>
      <c r="F28" s="44" t="str">
        <f t="shared" si="1"/>
        <v/>
      </c>
      <c r="H28" s="52"/>
      <c r="I28" s="52"/>
      <c r="J28" s="98" t="s">
        <v>60</v>
      </c>
      <c r="K28" s="164"/>
      <c r="L28" s="164"/>
      <c r="M28" s="164"/>
    </row>
    <row r="29" spans="1:13" ht="15.75">
      <c r="A29" s="43" t="str">
        <f t="shared" si="0"/>
        <v/>
      </c>
      <c r="B29" s="9"/>
      <c r="C29" s="45" t="str">
        <f>IFERROR(INDEX(Table2[],MATCH(B29,Table2[PRODUCT],0),3),"")</f>
        <v/>
      </c>
      <c r="D29" s="21"/>
      <c r="E29" s="73" t="str">
        <f>IFERROR(INDEX(Table2[],MATCH(B29,Table2[PRODUCT],0),4),"")</f>
        <v/>
      </c>
      <c r="F29" s="44" t="str">
        <f>IFERROR((D29*E29),"")</f>
        <v/>
      </c>
      <c r="H29" s="52"/>
      <c r="I29" s="52"/>
      <c r="J29" s="164"/>
      <c r="K29" s="164"/>
      <c r="L29" s="164"/>
      <c r="M29" s="164"/>
    </row>
    <row r="30" spans="1:13" ht="19.5" customHeight="1">
      <c r="A30" s="104" t="s">
        <v>25</v>
      </c>
      <c r="B30" s="105"/>
      <c r="C30" s="24"/>
      <c r="D30" s="158" t="s">
        <v>4</v>
      </c>
      <c r="E30" s="159"/>
      <c r="F30" s="25"/>
      <c r="H30" s="52"/>
      <c r="I30" s="52"/>
      <c r="J30" s="52"/>
      <c r="K30" s="52"/>
      <c r="L30" s="52"/>
      <c r="M30" s="52"/>
    </row>
    <row r="31" spans="1:13" ht="20.25" customHeight="1">
      <c r="A31" s="145" t="s">
        <v>34</v>
      </c>
      <c r="B31" s="146"/>
      <c r="C31" s="147"/>
      <c r="D31" s="160" t="s">
        <v>5</v>
      </c>
      <c r="E31" s="161"/>
      <c r="F31" s="26">
        <f>IFERROR(SUM(F14:F30),"")</f>
        <v>0</v>
      </c>
      <c r="G31" s="27"/>
      <c r="H31" s="89"/>
      <c r="I31" s="89"/>
      <c r="J31" s="89"/>
      <c r="K31" s="89"/>
      <c r="L31" s="89"/>
      <c r="M31" s="89"/>
    </row>
    <row r="32" spans="1:13" ht="19.5" customHeight="1">
      <c r="A32" s="148" t="s">
        <v>35</v>
      </c>
      <c r="B32" s="149"/>
      <c r="C32" s="150"/>
      <c r="D32" s="28" t="s">
        <v>17</v>
      </c>
      <c r="E32" s="29">
        <v>0.09</v>
      </c>
      <c r="F32" s="26">
        <f>IFERROR(IF(E34&lt;&gt;"",(""),(E32*F31)),"")</f>
        <v>0</v>
      </c>
      <c r="G32" s="27"/>
      <c r="H32" s="89"/>
      <c r="I32" s="89"/>
      <c r="J32" s="92" t="s">
        <v>72</v>
      </c>
      <c r="K32" s="92"/>
      <c r="L32" s="92"/>
      <c r="M32" s="92"/>
    </row>
    <row r="33" spans="1:13" ht="19.5" customHeight="1">
      <c r="A33" s="106" t="s">
        <v>36</v>
      </c>
      <c r="B33" s="107"/>
      <c r="C33" s="108"/>
      <c r="D33" s="28" t="s">
        <v>18</v>
      </c>
      <c r="E33" s="29">
        <v>0.09</v>
      </c>
      <c r="F33" s="26">
        <f>IFERROR(IF(E34&lt;&gt;"",(""),(E33*F31)),"")</f>
        <v>0</v>
      </c>
      <c r="G33" s="27"/>
      <c r="H33" s="89"/>
      <c r="I33" s="89"/>
      <c r="J33" s="92"/>
      <c r="K33" s="92"/>
      <c r="L33" s="92"/>
      <c r="M33" s="92"/>
    </row>
    <row r="34" spans="1:13" ht="19.5" customHeight="1">
      <c r="A34" s="132"/>
      <c r="B34" s="133"/>
      <c r="C34" s="30"/>
      <c r="D34" s="28" t="s">
        <v>16</v>
      </c>
      <c r="E34" s="31"/>
      <c r="F34" s="26">
        <f>IFERROR((E34*F31),"")</f>
        <v>0</v>
      </c>
      <c r="G34" s="27"/>
      <c r="H34" s="89"/>
      <c r="I34" s="89"/>
      <c r="J34" s="89"/>
      <c r="K34" s="89"/>
      <c r="L34" s="89"/>
      <c r="M34" s="89"/>
    </row>
    <row r="35" spans="1:13" ht="19.5" customHeight="1">
      <c r="A35" s="134">
        <f xml:space="preserve">  rupee(F36)</f>
        <v>0</v>
      </c>
      <c r="B35" s="135"/>
      <c r="C35" s="136"/>
      <c r="D35" s="102" t="s">
        <v>23</v>
      </c>
      <c r="E35" s="103"/>
      <c r="F35" s="26">
        <f>(SUM(F31:F34))-ROUND((SUM(F31:F34)),0)</f>
        <v>0</v>
      </c>
      <c r="G35" s="27"/>
      <c r="H35" s="90"/>
      <c r="I35" s="79"/>
      <c r="J35" s="79"/>
    </row>
    <row r="36" spans="1:13" ht="19.5" customHeight="1">
      <c r="A36" s="32"/>
      <c r="B36" s="33"/>
      <c r="C36" s="34"/>
      <c r="D36" s="100" t="s">
        <v>19</v>
      </c>
      <c r="E36" s="101"/>
      <c r="F36" s="35">
        <f>ROUND((SUM(F31:F34)),0)</f>
        <v>0</v>
      </c>
      <c r="G36" s="27"/>
      <c r="H36" s="90"/>
      <c r="I36" s="79"/>
      <c r="J36" s="79"/>
    </row>
    <row r="37" spans="1:13" ht="19.5" customHeight="1">
      <c r="A37" s="118" t="s">
        <v>26</v>
      </c>
      <c r="B37" s="119"/>
      <c r="C37" s="36"/>
      <c r="D37" s="112" t="s">
        <v>55</v>
      </c>
      <c r="E37" s="113"/>
      <c r="F37" s="114"/>
      <c r="H37" s="91"/>
      <c r="I37" s="79"/>
      <c r="J37" s="79"/>
    </row>
    <row r="38" spans="1:13" ht="20.25" customHeight="1">
      <c r="A38" s="115" t="s">
        <v>56</v>
      </c>
      <c r="B38" s="116"/>
      <c r="C38" s="37"/>
      <c r="D38" s="38"/>
      <c r="E38" s="11"/>
      <c r="F38" s="39"/>
      <c r="H38" s="79"/>
      <c r="I38" s="79"/>
      <c r="J38" s="79"/>
    </row>
    <row r="39" spans="1:13" ht="13.5" customHeight="1">
      <c r="A39" s="115" t="s">
        <v>57</v>
      </c>
      <c r="B39" s="116"/>
      <c r="C39" s="40"/>
      <c r="D39" s="38"/>
      <c r="E39" s="11"/>
      <c r="F39" s="39"/>
      <c r="H39" s="79"/>
      <c r="I39" s="79"/>
      <c r="J39" s="79"/>
    </row>
    <row r="40" spans="1:13" ht="13.5" customHeight="1">
      <c r="A40" s="117" t="s">
        <v>58</v>
      </c>
      <c r="B40" s="116"/>
      <c r="C40" s="40"/>
      <c r="D40" s="109"/>
      <c r="E40" s="110"/>
      <c r="F40" s="111"/>
    </row>
    <row r="41" spans="1:13" ht="14.25" customHeight="1">
      <c r="A41" s="123" t="s">
        <v>59</v>
      </c>
      <c r="B41" s="124"/>
      <c r="C41" s="125"/>
      <c r="D41" s="120" t="s">
        <v>20</v>
      </c>
      <c r="E41" s="121"/>
      <c r="F41" s="122"/>
    </row>
    <row r="42" spans="1:13">
      <c r="A42" s="99"/>
      <c r="B42" s="99"/>
    </row>
  </sheetData>
  <mergeCells count="40">
    <mergeCell ref="I14:N15"/>
    <mergeCell ref="A1:F1"/>
    <mergeCell ref="A31:C31"/>
    <mergeCell ref="A32:C32"/>
    <mergeCell ref="C8:D8"/>
    <mergeCell ref="C9:D9"/>
    <mergeCell ref="C11:D11"/>
    <mergeCell ref="E11:F11"/>
    <mergeCell ref="C10:D10"/>
    <mergeCell ref="D30:E30"/>
    <mergeCell ref="D31:E31"/>
    <mergeCell ref="B3:E3"/>
    <mergeCell ref="B2:E2"/>
    <mergeCell ref="B4:E4"/>
    <mergeCell ref="J28:M29"/>
    <mergeCell ref="J24:M25"/>
    <mergeCell ref="A41:C41"/>
    <mergeCell ref="B6:E6"/>
    <mergeCell ref="E10:F10"/>
    <mergeCell ref="B9:B11"/>
    <mergeCell ref="A34:B34"/>
    <mergeCell ref="A35:C35"/>
    <mergeCell ref="C12:D12"/>
    <mergeCell ref="E12:F12"/>
    <mergeCell ref="J32:M33"/>
    <mergeCell ref="B5:F5"/>
    <mergeCell ref="A7:F7"/>
    <mergeCell ref="J20:M21"/>
    <mergeCell ref="A42:B42"/>
    <mergeCell ref="D36:E36"/>
    <mergeCell ref="D35:E35"/>
    <mergeCell ref="A30:B30"/>
    <mergeCell ref="A33:C33"/>
    <mergeCell ref="D40:F40"/>
    <mergeCell ref="D37:F37"/>
    <mergeCell ref="A38:B38"/>
    <mergeCell ref="A39:B39"/>
    <mergeCell ref="A40:B40"/>
    <mergeCell ref="A37:B37"/>
    <mergeCell ref="D41:F41"/>
  </mergeCells>
  <dataValidations count="2">
    <dataValidation type="list" allowBlank="1" showInputMessage="1" sqref="B8">
      <formula1>customer_easy_list</formula1>
    </dataValidation>
    <dataValidation type="list" allowBlank="1" showInputMessage="1" sqref="B14:B29">
      <formula1>PRODUCTS</formula1>
    </dataValidation>
  </dataValidations>
  <hyperlinks>
    <hyperlink ref="I14:N15" location="'INSTRUCTIONS &amp; DEVELOPER INFO'!A1" display="TAP HERE TO KNOW HOW TO USE"/>
  </hyperlinks>
  <printOptions horizontalCentered="1" verticalCentered="1"/>
  <pageMargins left="0.25" right="0.25" top="0.25" bottom="0.25" header="0" footer="6.4960630000000005E-2"/>
  <pageSetup scale="98" orientation="portrait" r:id="rId1"/>
  <drawing r:id="rId2"/>
  <legacyDrawing r:id="rId3"/>
  <controls>
    <control shapeId="1082" r:id="rId4" name="CommandButton4"/>
    <control shapeId="1080" r:id="rId5" name="CommandButton2"/>
    <control shapeId="1028" r:id="rId6" name="CommandButton1"/>
    <control shapeId="1081" r:id="rId7" name="CommandButton3"/>
  </controls>
</worksheet>
</file>

<file path=xl/worksheets/sheet2.xml><?xml version="1.0" encoding="utf-8"?>
<worksheet xmlns="http://schemas.openxmlformats.org/spreadsheetml/2006/main" xmlns:r="http://schemas.openxmlformats.org/officeDocument/2006/relationships">
  <sheetPr codeName="Sheet2"/>
  <dimension ref="A1:I786"/>
  <sheetViews>
    <sheetView workbookViewId="0">
      <selection activeCell="C8" sqref="C8"/>
    </sheetView>
  </sheetViews>
  <sheetFormatPr defaultColWidth="31.140625" defaultRowHeight="18.75"/>
  <cols>
    <col min="1" max="1" width="8.85546875" style="56" bestFit="1" customWidth="1"/>
    <col min="2" max="2" width="30.85546875" style="56" customWidth="1"/>
    <col min="3" max="3" width="57.7109375" style="56" customWidth="1"/>
    <col min="4" max="4" width="25.85546875" style="56" bestFit="1" customWidth="1"/>
    <col min="5" max="5" width="24.7109375" style="56" customWidth="1"/>
    <col min="6" max="16384" width="31.140625" style="56"/>
  </cols>
  <sheetData>
    <row r="1" spans="1:9" ht="37.5">
      <c r="A1" s="56" t="s">
        <v>28</v>
      </c>
      <c r="B1" s="56" t="s">
        <v>9</v>
      </c>
      <c r="C1" s="56" t="s">
        <v>8</v>
      </c>
      <c r="D1" s="56" t="s">
        <v>6</v>
      </c>
      <c r="E1" s="56" t="s">
        <v>7</v>
      </c>
    </row>
    <row r="2" spans="1:9" ht="56.25">
      <c r="A2" s="70">
        <f>IF(ISNUMBER(SEARCH(My_Sheet!$B$8,B2)),MAX($A$1:A1)+1,0)</f>
        <v>1</v>
      </c>
      <c r="B2" s="57" t="s">
        <v>63</v>
      </c>
      <c r="C2" s="56" t="s">
        <v>24</v>
      </c>
      <c r="E2" s="56" t="s">
        <v>21</v>
      </c>
      <c r="F2" s="71"/>
      <c r="G2" s="71" t="str">
        <f>IFERROR(VLOOKUP(ROWS($G$2:G2),$A$2:$B$1048576,2,0),"")</f>
        <v>LABTHERM SCIENTIFIC PRODUCTS</v>
      </c>
      <c r="H2" s="71" t="str">
        <f ca="1">IFERROR(OFFSET($G$2,,,COUNTIF($G$2:$G$1048576,"?*")),"")</f>
        <v>LABTHERM SCIENTIFIC PRODUCTS</v>
      </c>
      <c r="I2" s="71"/>
    </row>
    <row r="3" spans="1:9">
      <c r="A3" s="70">
        <f>IF(ISNUMBER(SEARCH(My_Sheet!$B$8,B3)),MAX($A$1:A2)+1,0)</f>
        <v>0</v>
      </c>
      <c r="F3" s="71"/>
      <c r="G3" s="71" t="str">
        <f>IFERROR(VLOOKUP(ROWS($G$2:G3),$A$2:$B$1642,2,0),"")</f>
        <v/>
      </c>
      <c r="H3" s="71"/>
      <c r="I3" s="71"/>
    </row>
    <row r="4" spans="1:9">
      <c r="A4" s="70">
        <f>IF(ISNUMBER(SEARCH(My_Sheet!$B$8,B4)),MAX($A$1:A3)+1,0)</f>
        <v>0</v>
      </c>
      <c r="F4" s="71"/>
      <c r="G4" s="71" t="str">
        <f>IFERROR(VLOOKUP(ROWS($G$2:G4),$A$2:$B$1642,2,0),"")</f>
        <v/>
      </c>
      <c r="H4" s="71"/>
      <c r="I4" s="71"/>
    </row>
    <row r="5" spans="1:9">
      <c r="A5" s="70">
        <f>IF(ISNUMBER(SEARCH(My_Sheet!$B$8,B5)),MAX($A$1:A4)+1,0)</f>
        <v>0</v>
      </c>
      <c r="F5" s="71"/>
      <c r="G5" s="71" t="str">
        <f>IFERROR(VLOOKUP(ROWS($G$2:G5),$A$2:$B$1642,2,0),"")</f>
        <v/>
      </c>
      <c r="H5" s="71"/>
      <c r="I5" s="71"/>
    </row>
    <row r="6" spans="1:9">
      <c r="A6" s="70">
        <f>IF(ISNUMBER(SEARCH(My_Sheet!$B$8,B6)),MAX($A$1:A5)+1,0)</f>
        <v>0</v>
      </c>
      <c r="F6" s="71"/>
      <c r="G6" s="71" t="str">
        <f>IFERROR(VLOOKUP(ROWS($G$2:G6),$A$2:$B$1642,2,0),"")</f>
        <v/>
      </c>
      <c r="H6" s="71"/>
      <c r="I6" s="71"/>
    </row>
    <row r="7" spans="1:9">
      <c r="A7" s="70">
        <f>IF(ISNUMBER(SEARCH(My_Sheet!$B$8,B7)),MAX($A$1:A6)+1,0)</f>
        <v>0</v>
      </c>
      <c r="F7" s="71"/>
      <c r="G7" s="71" t="str">
        <f>IFERROR(VLOOKUP(ROWS($G$2:G7),$A$2:$B$1642,2,0),"")</f>
        <v/>
      </c>
      <c r="H7" s="71"/>
      <c r="I7" s="71"/>
    </row>
    <row r="8" spans="1:9">
      <c r="A8" s="70">
        <f>IF(ISNUMBER(SEARCH(My_Sheet!$B$8,B8)),MAX($A$1:A7)+1,0)</f>
        <v>0</v>
      </c>
      <c r="B8" s="58"/>
      <c r="C8" s="58"/>
      <c r="D8" s="58"/>
      <c r="E8" s="58"/>
      <c r="F8" s="71"/>
      <c r="G8" s="71" t="str">
        <f>IFERROR(VLOOKUP(ROWS($G$2:G8),$A$2:$B$1642,2,0),"")</f>
        <v/>
      </c>
      <c r="H8" s="71"/>
      <c r="I8" s="71"/>
    </row>
    <row r="9" spans="1:9">
      <c r="A9" s="70">
        <f>IF(ISNUMBER(SEARCH(My_Sheet!$B$8,B9)),MAX($A$1:A8)+1,0)</f>
        <v>0</v>
      </c>
      <c r="B9" s="59"/>
      <c r="C9" s="59"/>
      <c r="D9" s="59"/>
      <c r="E9" s="59"/>
      <c r="F9" s="71"/>
      <c r="G9" s="71" t="str">
        <f>IFERROR(VLOOKUP(ROWS($G$2:G9),$A$2:$B$1642,2,0),"")</f>
        <v/>
      </c>
      <c r="H9" s="71"/>
      <c r="I9" s="71"/>
    </row>
    <row r="10" spans="1:9">
      <c r="A10" s="70">
        <f>IF(ISNUMBER(SEARCH(My_Sheet!$B$8,B10)),MAX($A$1:A9)+1,0)</f>
        <v>0</v>
      </c>
      <c r="B10" s="60"/>
      <c r="C10" s="60"/>
      <c r="D10" s="60"/>
      <c r="E10" s="60"/>
      <c r="F10" s="71"/>
      <c r="G10" s="71" t="str">
        <f>IFERROR(VLOOKUP(ROWS($G$2:G10),$A$2:$B$1642,2,0),"")</f>
        <v/>
      </c>
      <c r="H10" s="71"/>
      <c r="I10" s="71"/>
    </row>
    <row r="11" spans="1:9">
      <c r="A11" s="70">
        <f>IF(ISNUMBER(SEARCH(My_Sheet!$B$8,B11)),MAX($A$1:A10)+1,0)</f>
        <v>0</v>
      </c>
      <c r="B11" s="59"/>
      <c r="D11" s="59"/>
      <c r="E11" s="57"/>
      <c r="F11" s="71"/>
      <c r="G11" s="71" t="str">
        <f>IFERROR(VLOOKUP(ROWS($G$2:G11),$A$2:$B$1642,2,0),"")</f>
        <v/>
      </c>
      <c r="H11" s="71"/>
      <c r="I11" s="71"/>
    </row>
    <row r="12" spans="1:9">
      <c r="A12" s="70">
        <f>IF(ISNUMBER(SEARCH(My_Sheet!$B$8,B12)),MAX($A$1:A11)+1,0)</f>
        <v>0</v>
      </c>
      <c r="B12" s="60"/>
      <c r="C12" s="60"/>
      <c r="D12" s="60"/>
      <c r="E12" s="60"/>
      <c r="F12" s="71"/>
      <c r="G12" s="71" t="str">
        <f>IFERROR(VLOOKUP(ROWS($G$2:G12),$A$2:$B$1642,2,0),"")</f>
        <v/>
      </c>
      <c r="H12" s="71"/>
      <c r="I12" s="71"/>
    </row>
    <row r="13" spans="1:9">
      <c r="A13" s="70">
        <f>IF(ISNUMBER(SEARCH(My_Sheet!$B$8,B13)),MAX($A$1:A12)+1,0)</f>
        <v>0</v>
      </c>
      <c r="B13" s="60"/>
      <c r="C13" s="61"/>
      <c r="D13" s="60"/>
      <c r="E13" s="58"/>
      <c r="F13" s="71"/>
      <c r="G13" s="71" t="str">
        <f>IFERROR(VLOOKUP(ROWS($G$2:G13),$A$2:$B$1642,2,0),"")</f>
        <v/>
      </c>
      <c r="H13" s="71"/>
      <c r="I13" s="71"/>
    </row>
    <row r="14" spans="1:9">
      <c r="A14" s="70">
        <f>IF(ISNUMBER(SEARCH(My_Sheet!$B$8,B14)),MAX($A$1:A13)+1,0)</f>
        <v>0</v>
      </c>
      <c r="B14" s="58"/>
      <c r="C14" s="62"/>
      <c r="D14" s="58"/>
      <c r="E14" s="58"/>
      <c r="F14" s="71"/>
      <c r="G14" s="71" t="str">
        <f>IFERROR(VLOOKUP(ROWS($G$2:G14),$A$2:$B$1642,2,0),"")</f>
        <v/>
      </c>
      <c r="H14" s="71"/>
      <c r="I14" s="71"/>
    </row>
    <row r="15" spans="1:9">
      <c r="A15" s="70">
        <f>IF(ISNUMBER(SEARCH(My_Sheet!$B$8,B15)),MAX($A$1:A14)+1,0)</f>
        <v>0</v>
      </c>
      <c r="B15" s="58"/>
      <c r="C15" s="61"/>
      <c r="F15" s="71"/>
      <c r="G15" s="71" t="str">
        <f>IFERROR(VLOOKUP(ROWS($G$2:G15),$A$2:$B$1642,2,0),"")</f>
        <v/>
      </c>
      <c r="H15" s="71"/>
      <c r="I15" s="71"/>
    </row>
    <row r="16" spans="1:9">
      <c r="A16" s="70">
        <f>IF(ISNUMBER(SEARCH(My_Sheet!$B$8,B16)),MAX($A$1:A15)+1,0)</f>
        <v>0</v>
      </c>
      <c r="B16" s="58"/>
      <c r="C16" s="61"/>
      <c r="D16" s="58"/>
      <c r="E16" s="58"/>
      <c r="F16" s="71"/>
      <c r="G16" s="71" t="str">
        <f>IFERROR(VLOOKUP(ROWS($G$2:G16),$A$2:$B$1642,2,0),"")</f>
        <v/>
      </c>
      <c r="H16" s="71"/>
      <c r="I16" s="71"/>
    </row>
    <row r="17" spans="1:9">
      <c r="A17" s="70">
        <f>IF(ISNUMBER(SEARCH(My_Sheet!$B$8,B17)),MAX($A$1:A16)+1,0)</f>
        <v>0</v>
      </c>
      <c r="B17" s="63"/>
      <c r="C17" s="61"/>
      <c r="D17" s="58"/>
      <c r="E17" s="58"/>
      <c r="F17" s="71"/>
      <c r="G17" s="71" t="str">
        <f>IFERROR(VLOOKUP(ROWS($G$2:G17),$A$2:$B$1642,2,0),"")</f>
        <v/>
      </c>
      <c r="H17" s="71"/>
      <c r="I17" s="71"/>
    </row>
    <row r="18" spans="1:9">
      <c r="A18" s="70">
        <f>IF(ISNUMBER(SEARCH(My_Sheet!$B$8,B18)),MAX($A$1:A17)+1,0)</f>
        <v>0</v>
      </c>
      <c r="B18" s="64"/>
      <c r="C18" s="58"/>
      <c r="D18" s="58"/>
      <c r="E18" s="58"/>
      <c r="F18" s="71"/>
      <c r="G18" s="71" t="str">
        <f>IFERROR(VLOOKUP(ROWS($G$2:G18),$A$2:$B$1642,2,0),"")</f>
        <v/>
      </c>
      <c r="H18" s="71"/>
      <c r="I18" s="71"/>
    </row>
    <row r="19" spans="1:9">
      <c r="A19" s="70">
        <f>IF(ISNUMBER(SEARCH(My_Sheet!$B$8,B19)),MAX($A$1:A18)+1,0)</f>
        <v>0</v>
      </c>
      <c r="B19" s="64"/>
      <c r="C19" s="65"/>
      <c r="D19" s="58"/>
      <c r="E19" s="58"/>
      <c r="F19" s="71"/>
      <c r="G19" s="71" t="str">
        <f>IFERROR(VLOOKUP(ROWS($G$2:G19),$A$2:$B$1642,2,0),"")</f>
        <v/>
      </c>
      <c r="H19" s="71"/>
      <c r="I19" s="71"/>
    </row>
    <row r="20" spans="1:9">
      <c r="A20" s="70">
        <f>IF(ISNUMBER(SEARCH(My_Sheet!$B$8,B20)),MAX($A$1:A19)+1,0)</f>
        <v>0</v>
      </c>
      <c r="B20" s="58"/>
      <c r="C20" s="66"/>
      <c r="D20" s="58"/>
      <c r="E20" s="58"/>
      <c r="F20" s="71"/>
      <c r="G20" s="71" t="str">
        <f>IFERROR(VLOOKUP(ROWS($G$2:G20),$A$2:$B$1642,2,0),"")</f>
        <v/>
      </c>
      <c r="H20" s="71"/>
      <c r="I20" s="71"/>
    </row>
    <row r="21" spans="1:9">
      <c r="A21" s="70">
        <f>IF(ISNUMBER(SEARCH(My_Sheet!$B$8,B21)),MAX($A$1:A20)+1,0)</f>
        <v>0</v>
      </c>
      <c r="B21" s="64"/>
      <c r="D21" s="58"/>
      <c r="E21" s="58"/>
      <c r="F21" s="71"/>
      <c r="G21" s="71" t="str">
        <f>IFERROR(VLOOKUP(ROWS($G$2:G21),$A$2:$B$1642,2,0),"")</f>
        <v/>
      </c>
      <c r="H21" s="71"/>
      <c r="I21" s="71"/>
    </row>
    <row r="22" spans="1:9">
      <c r="A22" s="70">
        <f>IF(ISNUMBER(SEARCH(My_Sheet!$B$8,B22)),MAX($A$1:A21)+1,0)</f>
        <v>0</v>
      </c>
      <c r="B22" s="64"/>
      <c r="C22" s="58"/>
      <c r="D22" s="58"/>
      <c r="E22" s="67"/>
      <c r="F22" s="71"/>
      <c r="G22" s="71" t="str">
        <f>IFERROR(VLOOKUP(ROWS($G$2:G22),$A$2:$B$1642,2,0),"")</f>
        <v/>
      </c>
      <c r="H22" s="71"/>
      <c r="I22" s="71"/>
    </row>
    <row r="23" spans="1:9">
      <c r="A23" s="70">
        <f>IF(ISNUMBER(SEARCH(My_Sheet!$B$8,B23)),MAX($A$1:A22)+1,0)</f>
        <v>0</v>
      </c>
      <c r="B23" s="58"/>
      <c r="C23" s="61"/>
      <c r="D23" s="58"/>
      <c r="E23" s="58"/>
      <c r="F23" s="71"/>
      <c r="G23" s="71" t="str">
        <f>IFERROR(VLOOKUP(ROWS($G$2:G23),$A$2:$B$1642,2,0),"")</f>
        <v/>
      </c>
      <c r="H23" s="71"/>
      <c r="I23" s="71"/>
    </row>
    <row r="24" spans="1:9">
      <c r="A24" s="70">
        <f>IF(ISNUMBER(SEARCH(My_Sheet!$B$8,B24)),MAX($A$1:A23)+1,0)</f>
        <v>0</v>
      </c>
      <c r="B24" s="68"/>
      <c r="C24" s="58"/>
      <c r="D24" s="58"/>
      <c r="E24" s="58"/>
      <c r="F24" s="71"/>
      <c r="G24" s="71" t="str">
        <f>IFERROR(VLOOKUP(ROWS($G$2:G24),$A$2:$B$1642,2,0),"")</f>
        <v/>
      </c>
      <c r="H24" s="71"/>
      <c r="I24" s="71"/>
    </row>
    <row r="25" spans="1:9">
      <c r="A25" s="70">
        <f>IF(ISNUMBER(SEARCH(My_Sheet!$B$8,B25)),MAX($A$1:A24)+1,0)</f>
        <v>0</v>
      </c>
      <c r="B25" s="60"/>
      <c r="C25" s="60"/>
      <c r="D25" s="60"/>
      <c r="E25" s="60"/>
      <c r="F25" s="71"/>
      <c r="G25" s="71" t="str">
        <f>IFERROR(VLOOKUP(ROWS($G$2:G25),$A$2:$B$1642,2,0),"")</f>
        <v/>
      </c>
      <c r="H25" s="71"/>
      <c r="I25" s="71"/>
    </row>
    <row r="26" spans="1:9">
      <c r="A26" s="70">
        <f>IF(ISNUMBER(SEARCH(My_Sheet!$B$8,B26)),MAX($A$1:A25)+1,0)</f>
        <v>0</v>
      </c>
      <c r="B26" s="69"/>
      <c r="C26" s="69"/>
      <c r="D26" s="69"/>
      <c r="E26" s="69"/>
      <c r="F26" s="71"/>
      <c r="G26" s="71" t="str">
        <f>IFERROR(VLOOKUP(ROWS($G$2:G26),$A$2:$B$1642,2,0),"")</f>
        <v/>
      </c>
      <c r="H26" s="71"/>
      <c r="I26" s="71"/>
    </row>
    <row r="27" spans="1:9">
      <c r="A27" s="70">
        <f>IF(ISNUMBER(SEARCH(My_Sheet!$B$8,B27)),MAX($A$1:A26)+1,0)</f>
        <v>0</v>
      </c>
      <c r="B27" s="69"/>
      <c r="C27" s="69"/>
      <c r="D27" s="69"/>
      <c r="E27" s="69"/>
      <c r="F27" s="71"/>
      <c r="G27" s="71" t="str">
        <f>IFERROR(VLOOKUP(ROWS($G$2:G27),$A$2:$B$1642,2,0),"")</f>
        <v/>
      </c>
      <c r="H27" s="71"/>
      <c r="I27" s="71"/>
    </row>
    <row r="28" spans="1:9">
      <c r="A28" s="70">
        <f>IF(ISNUMBER(SEARCH(My_Sheet!$B$8,B28)),MAX($A$1:A27)+1,0)</f>
        <v>0</v>
      </c>
      <c r="B28" s="69"/>
      <c r="C28" s="69"/>
      <c r="D28" s="69"/>
      <c r="E28" s="69"/>
      <c r="F28" s="71"/>
      <c r="G28" s="71" t="str">
        <f>IFERROR(VLOOKUP(ROWS($G$2:G28),$A$2:$B$1642,2,0),"")</f>
        <v/>
      </c>
      <c r="H28" s="71"/>
      <c r="I28" s="71"/>
    </row>
    <row r="29" spans="1:9">
      <c r="A29" s="70">
        <f>IF(ISNUMBER(SEARCH(My_Sheet!$B$8,B29)),MAX($A$1:A28)+1,0)</f>
        <v>0</v>
      </c>
      <c r="B29" s="69"/>
      <c r="C29" s="69"/>
      <c r="D29" s="69"/>
      <c r="E29" s="69"/>
      <c r="F29" s="71"/>
      <c r="G29" s="71" t="str">
        <f>IFERROR(VLOOKUP(ROWS($G$2:G29),$A$2:$B$1642,2,0),"")</f>
        <v/>
      </c>
      <c r="H29" s="71"/>
      <c r="I29" s="71"/>
    </row>
    <row r="30" spans="1:9">
      <c r="A30" s="70">
        <f>IF(ISNUMBER(SEARCH(My_Sheet!$B$8,B30)),MAX($A$1:A29)+1,0)</f>
        <v>0</v>
      </c>
      <c r="B30" s="69"/>
      <c r="C30" s="69"/>
      <c r="D30" s="69"/>
      <c r="E30" s="69"/>
      <c r="F30" s="71"/>
      <c r="G30" s="71" t="str">
        <f>IFERROR(VLOOKUP(ROWS($G$2:G30),$A$2:$B$1642,2,0),"")</f>
        <v/>
      </c>
      <c r="H30" s="71"/>
      <c r="I30" s="71"/>
    </row>
    <row r="31" spans="1:9">
      <c r="A31" s="70">
        <f>IF(ISNUMBER(SEARCH(My_Sheet!$B$8,B31)),MAX($A$1:A30)+1,0)</f>
        <v>0</v>
      </c>
      <c r="B31" s="69"/>
      <c r="C31" s="69"/>
      <c r="D31" s="69"/>
      <c r="E31" s="69"/>
      <c r="F31" s="71"/>
      <c r="G31" s="71" t="str">
        <f>IFERROR(VLOOKUP(ROWS($G$2:G31),$A$2:$B$1642,2,0),"")</f>
        <v/>
      </c>
      <c r="H31" s="71"/>
      <c r="I31" s="71"/>
    </row>
    <row r="32" spans="1:9">
      <c r="A32" s="70">
        <f>IF(ISNUMBER(SEARCH(My_Sheet!$B$8,B32)),MAX($A$1:A31)+1,0)</f>
        <v>0</v>
      </c>
      <c r="B32" s="69"/>
      <c r="C32" s="69"/>
      <c r="D32" s="69"/>
      <c r="E32" s="69"/>
      <c r="F32" s="71"/>
      <c r="G32" s="71" t="str">
        <f>IFERROR(VLOOKUP(ROWS($G$2:G32),$A$2:$B$1642,2,0),"")</f>
        <v/>
      </c>
      <c r="H32" s="71"/>
      <c r="I32" s="71"/>
    </row>
    <row r="33" spans="1:9">
      <c r="A33" s="70">
        <f>IF(ISNUMBER(SEARCH(My_Sheet!$B$8,B33)),MAX($A$1:A32)+1,0)</f>
        <v>0</v>
      </c>
      <c r="B33" s="69"/>
      <c r="C33" s="69"/>
      <c r="D33" s="69"/>
      <c r="E33" s="69"/>
      <c r="F33" s="71"/>
      <c r="G33" s="71" t="str">
        <f>IFERROR(VLOOKUP(ROWS($G$2:G33),$A$2:$B$1642,2,0),"")</f>
        <v/>
      </c>
      <c r="H33" s="71"/>
      <c r="I33" s="71"/>
    </row>
    <row r="34" spans="1:9">
      <c r="A34" s="70">
        <f>IF(ISNUMBER(SEARCH(My_Sheet!$B$8,B34)),MAX($A$1:A33)+1,0)</f>
        <v>0</v>
      </c>
      <c r="B34" s="69"/>
      <c r="C34" s="69"/>
      <c r="D34" s="69"/>
      <c r="E34" s="69"/>
      <c r="F34" s="71"/>
      <c r="G34" s="71" t="str">
        <f>IFERROR(VLOOKUP(ROWS($G$2:G34),$A$2:$B$1642,2,0),"")</f>
        <v/>
      </c>
      <c r="H34" s="71"/>
      <c r="I34" s="71"/>
    </row>
    <row r="35" spans="1:9">
      <c r="A35" s="70">
        <f>IF(ISNUMBER(SEARCH(My_Sheet!$B$8,B35)),MAX($A$1:A34)+1,0)</f>
        <v>0</v>
      </c>
      <c r="B35" s="69"/>
      <c r="C35" s="69"/>
      <c r="D35" s="69"/>
      <c r="E35" s="69"/>
      <c r="F35" s="71"/>
      <c r="G35" s="71" t="str">
        <f>IFERROR(VLOOKUP(ROWS($G$2:G35),$A$2:$B$1642,2,0),"")</f>
        <v/>
      </c>
      <c r="H35" s="71"/>
      <c r="I35" s="71"/>
    </row>
    <row r="36" spans="1:9">
      <c r="A36" s="70">
        <f>IF(ISNUMBER(SEARCH(My_Sheet!$B$8,B36)),MAX($A$1:A35)+1,0)</f>
        <v>0</v>
      </c>
      <c r="B36" s="69"/>
      <c r="C36" s="69"/>
      <c r="D36" s="69"/>
      <c r="E36" s="69"/>
      <c r="F36" s="71"/>
      <c r="G36" s="71" t="str">
        <f>IFERROR(VLOOKUP(ROWS($G$2:G36),$A$2:$B$1642,2,0),"")</f>
        <v/>
      </c>
      <c r="H36" s="71"/>
      <c r="I36" s="71"/>
    </row>
    <row r="37" spans="1:9">
      <c r="A37" s="70">
        <f>IF(ISNUMBER(SEARCH(My_Sheet!$B$8,B37)),MAX($A$1:A36)+1,0)</f>
        <v>0</v>
      </c>
      <c r="B37" s="69"/>
      <c r="C37" s="69"/>
      <c r="D37" s="69"/>
      <c r="E37" s="69"/>
      <c r="F37" s="71"/>
      <c r="G37" s="71" t="str">
        <f>IFERROR(VLOOKUP(ROWS($G$2:G37),$A$2:$B$1642,2,0),"")</f>
        <v/>
      </c>
      <c r="H37" s="71"/>
      <c r="I37" s="71"/>
    </row>
    <row r="38" spans="1:9">
      <c r="A38" s="70">
        <f>IF(ISNUMBER(SEARCH(My_Sheet!$B$8,B38)),MAX($A$1:A37)+1,0)</f>
        <v>0</v>
      </c>
      <c r="B38" s="69"/>
      <c r="C38" s="69"/>
      <c r="D38" s="69"/>
      <c r="E38" s="69"/>
      <c r="F38" s="71"/>
      <c r="G38" s="71" t="str">
        <f>IFERROR(VLOOKUP(ROWS($G$2:G38),$A$2:$B$1642,2,0),"")</f>
        <v/>
      </c>
      <c r="H38" s="71"/>
      <c r="I38" s="71"/>
    </row>
    <row r="39" spans="1:9">
      <c r="A39" s="70">
        <f>IF(ISNUMBER(SEARCH(My_Sheet!$B$8,B39)),MAX($A$1:A38)+1,0)</f>
        <v>0</v>
      </c>
      <c r="B39" s="69"/>
      <c r="C39" s="69"/>
      <c r="D39" s="69"/>
      <c r="E39" s="69"/>
      <c r="F39" s="71"/>
      <c r="G39" s="71" t="str">
        <f>IFERROR(VLOOKUP(ROWS($G$2:G39),$A$2:$B$1642,2,0),"")</f>
        <v/>
      </c>
      <c r="H39" s="71"/>
      <c r="I39" s="71"/>
    </row>
    <row r="40" spans="1:9">
      <c r="A40" s="70">
        <f>IF(ISNUMBER(SEARCH(My_Sheet!$B$8,B40)),MAX($A$1:A39)+1,0)</f>
        <v>0</v>
      </c>
      <c r="B40" s="69"/>
      <c r="C40" s="69"/>
      <c r="D40" s="69"/>
      <c r="E40" s="69"/>
      <c r="F40" s="71"/>
      <c r="G40" s="71" t="str">
        <f>IFERROR(VLOOKUP(ROWS($G$2:G40),$A$2:$B$1642,2,0),"")</f>
        <v/>
      </c>
      <c r="H40" s="71"/>
      <c r="I40" s="71"/>
    </row>
    <row r="41" spans="1:9">
      <c r="A41" s="70">
        <f>IF(ISNUMBER(SEARCH(My_Sheet!$B$8,B41)),MAX($A$1:A40)+1,0)</f>
        <v>0</v>
      </c>
      <c r="B41" s="69"/>
      <c r="C41" s="69"/>
      <c r="D41" s="69"/>
      <c r="E41" s="69"/>
      <c r="F41" s="71"/>
      <c r="G41" s="71" t="str">
        <f>IFERROR(VLOOKUP(ROWS($G$2:G41),$A$2:$B$1642,2,0),"")</f>
        <v/>
      </c>
      <c r="H41" s="71"/>
      <c r="I41" s="71"/>
    </row>
    <row r="42" spans="1:9">
      <c r="A42" s="70">
        <f>IF(ISNUMBER(SEARCH(My_Sheet!$B$8,B42)),MAX($A$1:A41)+1,0)</f>
        <v>0</v>
      </c>
      <c r="B42" s="69"/>
      <c r="C42" s="69"/>
      <c r="D42" s="69"/>
      <c r="E42" s="69"/>
      <c r="F42" s="71"/>
      <c r="G42" s="71" t="str">
        <f>IFERROR(VLOOKUP(ROWS($G$2:G42),$A$2:$B$1642,2,0),"")</f>
        <v/>
      </c>
      <c r="H42" s="71"/>
      <c r="I42" s="71"/>
    </row>
    <row r="43" spans="1:9">
      <c r="A43" s="70">
        <f>IF(ISNUMBER(SEARCH(My_Sheet!$B$8,B43)),MAX($A$1:A42)+1,0)</f>
        <v>0</v>
      </c>
      <c r="B43" s="69"/>
      <c r="C43" s="69"/>
      <c r="D43" s="69"/>
      <c r="E43" s="69"/>
      <c r="F43" s="71"/>
      <c r="G43" s="71" t="str">
        <f>IFERROR(VLOOKUP(ROWS($G$2:G43),$A$2:$B$1642,2,0),"")</f>
        <v/>
      </c>
      <c r="H43" s="71"/>
      <c r="I43" s="71"/>
    </row>
    <row r="44" spans="1:9">
      <c r="A44" s="70">
        <f>IF(ISNUMBER(SEARCH(My_Sheet!$B$8,B44)),MAX($A$1:A43)+1,0)</f>
        <v>0</v>
      </c>
      <c r="B44" s="69"/>
      <c r="C44" s="69"/>
      <c r="D44" s="69"/>
      <c r="E44" s="69"/>
      <c r="F44" s="71"/>
      <c r="G44" s="71" t="str">
        <f>IFERROR(VLOOKUP(ROWS($G$2:G44),$A$2:$B$1642,2,0),"")</f>
        <v/>
      </c>
      <c r="H44" s="71"/>
      <c r="I44" s="71"/>
    </row>
    <row r="45" spans="1:9">
      <c r="A45" s="70">
        <f>IF(ISNUMBER(SEARCH(My_Sheet!$B$8,B45)),MAX($A$1:A44)+1,0)</f>
        <v>0</v>
      </c>
      <c r="B45" s="69"/>
      <c r="C45" s="69"/>
      <c r="D45" s="69"/>
      <c r="E45" s="69"/>
      <c r="F45" s="71"/>
      <c r="G45" s="71" t="str">
        <f>IFERROR(VLOOKUP(ROWS($G$2:G45),$A$2:$B$1642,2,0),"")</f>
        <v/>
      </c>
      <c r="H45" s="71"/>
      <c r="I45" s="71"/>
    </row>
    <row r="46" spans="1:9">
      <c r="A46" s="70">
        <f>IF(ISNUMBER(SEARCH(My_Sheet!$B$8,B46)),MAX($A$1:A45)+1,0)</f>
        <v>0</v>
      </c>
      <c r="B46" s="69"/>
      <c r="C46" s="69"/>
      <c r="D46" s="69"/>
      <c r="E46" s="69"/>
      <c r="F46" s="71"/>
      <c r="G46" s="71" t="str">
        <f>IFERROR(VLOOKUP(ROWS($G$2:G46),$A$2:$B$1642,2,0),"")</f>
        <v/>
      </c>
      <c r="H46" s="71"/>
      <c r="I46" s="71"/>
    </row>
    <row r="47" spans="1:9">
      <c r="A47" s="70">
        <f>IF(ISNUMBER(SEARCH(My_Sheet!$B$8,B47)),MAX($A$1:A46)+1,0)</f>
        <v>0</v>
      </c>
      <c r="B47" s="69"/>
      <c r="C47" s="69"/>
      <c r="D47" s="69"/>
      <c r="E47" s="69"/>
      <c r="F47" s="71"/>
      <c r="G47" s="71" t="str">
        <f>IFERROR(VLOOKUP(ROWS($G$2:G47),$A$2:$B$1642,2,0),"")</f>
        <v/>
      </c>
      <c r="H47" s="71"/>
      <c r="I47" s="71"/>
    </row>
    <row r="48" spans="1:9">
      <c r="A48" s="70">
        <f>IF(ISNUMBER(SEARCH(My_Sheet!$B$8,B48)),MAX($A$1:A47)+1,0)</f>
        <v>0</v>
      </c>
      <c r="B48" s="69"/>
      <c r="C48" s="69"/>
      <c r="D48" s="69"/>
      <c r="E48" s="69"/>
      <c r="F48" s="71"/>
      <c r="G48" s="71" t="str">
        <f>IFERROR(VLOOKUP(ROWS($G$2:G48),$A$2:$B$1642,2,0),"")</f>
        <v/>
      </c>
      <c r="H48" s="71"/>
      <c r="I48" s="71"/>
    </row>
    <row r="49" spans="1:9">
      <c r="A49" s="70">
        <f>IF(ISNUMBER(SEARCH(My_Sheet!$B$8,B49)),MAX($A$1:A48)+1,0)</f>
        <v>0</v>
      </c>
      <c r="B49" s="69"/>
      <c r="C49" s="69"/>
      <c r="D49" s="69"/>
      <c r="E49" s="69"/>
      <c r="F49" s="71"/>
      <c r="G49" s="71" t="str">
        <f>IFERROR(VLOOKUP(ROWS($G$2:G49),$A$2:$B$1642,2,0),"")</f>
        <v/>
      </c>
      <c r="H49" s="71"/>
      <c r="I49" s="71"/>
    </row>
    <row r="50" spans="1:9">
      <c r="A50" s="70">
        <f>IF(ISNUMBER(SEARCH(My_Sheet!$B$8,B50)),MAX($A$1:A49)+1,0)</f>
        <v>0</v>
      </c>
      <c r="B50" s="69"/>
      <c r="C50" s="69"/>
      <c r="D50" s="69"/>
      <c r="E50" s="69"/>
      <c r="F50" s="71"/>
      <c r="G50" s="71" t="str">
        <f>IFERROR(VLOOKUP(ROWS($G$2:G50),$A$2:$B$1642,2,0),"")</f>
        <v/>
      </c>
      <c r="H50" s="71"/>
      <c r="I50" s="71"/>
    </row>
    <row r="51" spans="1:9">
      <c r="A51" s="70">
        <f>IF(ISNUMBER(SEARCH(My_Sheet!$B$8,B51)),MAX($A$1:A50)+1,0)</f>
        <v>0</v>
      </c>
      <c r="B51" s="69"/>
      <c r="C51" s="69"/>
      <c r="D51" s="69"/>
      <c r="E51" s="69"/>
      <c r="F51" s="71"/>
      <c r="G51" s="71" t="str">
        <f>IFERROR(VLOOKUP(ROWS($G$2:G51),$A$2:$B$1642,2,0),"")</f>
        <v/>
      </c>
      <c r="H51" s="71"/>
      <c r="I51" s="71"/>
    </row>
    <row r="52" spans="1:9">
      <c r="A52" s="70">
        <f>IF(ISNUMBER(SEARCH(My_Sheet!$B$8,B52)),MAX($A$1:A51)+1,0)</f>
        <v>0</v>
      </c>
      <c r="B52" s="69"/>
      <c r="C52" s="69"/>
      <c r="D52" s="69"/>
      <c r="E52" s="69"/>
      <c r="F52" s="71"/>
      <c r="G52" s="71" t="str">
        <f>IFERROR(VLOOKUP(ROWS($G$2:G52),$A$2:$B$1642,2,0),"")</f>
        <v/>
      </c>
      <c r="H52" s="71"/>
      <c r="I52" s="71"/>
    </row>
    <row r="53" spans="1:9">
      <c r="A53" s="70">
        <f>IF(ISNUMBER(SEARCH(My_Sheet!$B$8,B53)),MAX($A$1:A52)+1,0)</f>
        <v>0</v>
      </c>
      <c r="B53" s="69"/>
      <c r="C53" s="69"/>
      <c r="D53" s="69"/>
      <c r="E53" s="69"/>
      <c r="F53" s="71"/>
      <c r="G53" s="71" t="str">
        <f>IFERROR(VLOOKUP(ROWS($G$2:G53),$A$2:$B$1642,2,0),"")</f>
        <v/>
      </c>
      <c r="H53" s="71"/>
      <c r="I53" s="71"/>
    </row>
    <row r="54" spans="1:9">
      <c r="A54" s="70">
        <f>IF(ISNUMBER(SEARCH(My_Sheet!$B$8,B54)),MAX($A$1:A53)+1,0)</f>
        <v>0</v>
      </c>
      <c r="B54" s="69"/>
      <c r="C54" s="69"/>
      <c r="D54" s="69"/>
      <c r="E54" s="69"/>
      <c r="F54" s="71"/>
      <c r="G54" s="71" t="str">
        <f>IFERROR(VLOOKUP(ROWS($G$2:G54),$A$2:$B$1642,2,0),"")</f>
        <v/>
      </c>
      <c r="H54" s="71"/>
      <c r="I54" s="71"/>
    </row>
    <row r="55" spans="1:9">
      <c r="A55" s="70">
        <f>IF(ISNUMBER(SEARCH(My_Sheet!$B$8,B55)),MAX($A$1:A54)+1,0)</f>
        <v>0</v>
      </c>
      <c r="B55" s="69"/>
      <c r="C55" s="69"/>
      <c r="D55" s="69"/>
      <c r="E55" s="69"/>
      <c r="F55" s="71"/>
      <c r="G55" s="71" t="str">
        <f>IFERROR(VLOOKUP(ROWS($G$2:G55),$A$2:$B$1642,2,0),"")</f>
        <v/>
      </c>
      <c r="H55" s="71"/>
      <c r="I55" s="71"/>
    </row>
    <row r="56" spans="1:9">
      <c r="A56" s="70">
        <f>IF(ISNUMBER(SEARCH(My_Sheet!$B$8,B56)),MAX($A$1:A55)+1,0)</f>
        <v>0</v>
      </c>
      <c r="B56" s="69"/>
      <c r="C56" s="69"/>
      <c r="D56" s="69"/>
      <c r="E56" s="69"/>
      <c r="F56" s="71"/>
      <c r="G56" s="71" t="str">
        <f>IFERROR(VLOOKUP(ROWS($G$2:G56),$A$2:$B$1642,2,0),"")</f>
        <v/>
      </c>
      <c r="H56" s="71"/>
      <c r="I56" s="71"/>
    </row>
    <row r="57" spans="1:9">
      <c r="A57" s="70">
        <f>IF(ISNUMBER(SEARCH(My_Sheet!$B$8,B57)),MAX($A$1:A56)+1,0)</f>
        <v>0</v>
      </c>
      <c r="B57" s="69"/>
      <c r="C57" s="69"/>
      <c r="D57" s="69"/>
      <c r="E57" s="69"/>
      <c r="F57" s="71"/>
      <c r="G57" s="71" t="str">
        <f>IFERROR(VLOOKUP(ROWS($G$2:G57),$A$2:$B$1642,2,0),"")</f>
        <v/>
      </c>
      <c r="H57" s="71"/>
      <c r="I57" s="71"/>
    </row>
    <row r="58" spans="1:9">
      <c r="A58" s="70">
        <f>IF(ISNUMBER(SEARCH(My_Sheet!$B$8,B58)),MAX($A$1:A57)+1,0)</f>
        <v>0</v>
      </c>
      <c r="B58" s="69"/>
      <c r="C58" s="69"/>
      <c r="D58" s="69"/>
      <c r="E58" s="69"/>
      <c r="F58" s="71"/>
      <c r="G58" s="71" t="str">
        <f>IFERROR(VLOOKUP(ROWS($G$2:G58),$A$2:$B$1642,2,0),"")</f>
        <v/>
      </c>
      <c r="H58" s="71"/>
      <c r="I58" s="71"/>
    </row>
    <row r="59" spans="1:9">
      <c r="A59" s="70">
        <f>IF(ISNUMBER(SEARCH(My_Sheet!$B$8,B59)),MAX($A$1:A58)+1,0)</f>
        <v>0</v>
      </c>
      <c r="B59" s="69"/>
      <c r="C59" s="69"/>
      <c r="D59" s="69"/>
      <c r="E59" s="69"/>
      <c r="F59" s="71"/>
      <c r="G59" s="71" t="str">
        <f>IFERROR(VLOOKUP(ROWS($G$2:G59),$A$2:$B$1642,2,0),"")</f>
        <v/>
      </c>
      <c r="H59" s="71"/>
      <c r="I59" s="71"/>
    </row>
    <row r="60" spans="1:9">
      <c r="A60" s="70">
        <f>IF(ISNUMBER(SEARCH(My_Sheet!$B$8,B60)),MAX($A$1:A59)+1,0)</f>
        <v>0</v>
      </c>
      <c r="B60" s="69"/>
      <c r="C60" s="69"/>
      <c r="D60" s="69"/>
      <c r="E60" s="69"/>
      <c r="F60" s="71"/>
      <c r="G60" s="71" t="str">
        <f>IFERROR(VLOOKUP(ROWS($G$2:G60),$A$2:$B$1642,2,0),"")</f>
        <v/>
      </c>
      <c r="H60" s="71"/>
      <c r="I60" s="71"/>
    </row>
    <row r="61" spans="1:9">
      <c r="A61" s="70">
        <f>IF(ISNUMBER(SEARCH(My_Sheet!$B$8,B61)),MAX($A$1:A60)+1,0)</f>
        <v>0</v>
      </c>
      <c r="B61" s="69"/>
      <c r="C61" s="69"/>
      <c r="D61" s="69"/>
      <c r="E61" s="69"/>
      <c r="F61" s="71"/>
      <c r="G61" s="71" t="str">
        <f>IFERROR(VLOOKUP(ROWS($G$2:G61),$A$2:$B$1642,2,0),"")</f>
        <v/>
      </c>
      <c r="H61" s="71"/>
      <c r="I61" s="71"/>
    </row>
    <row r="62" spans="1:9">
      <c r="A62" s="70">
        <f>IF(ISNUMBER(SEARCH(My_Sheet!$B$8,B62)),MAX($A$1:A61)+1,0)</f>
        <v>0</v>
      </c>
      <c r="B62" s="69"/>
      <c r="C62" s="69"/>
      <c r="D62" s="69"/>
      <c r="E62" s="69"/>
      <c r="F62" s="71"/>
      <c r="G62" s="71" t="str">
        <f>IFERROR(VLOOKUP(ROWS($G$2:G62),$A$2:$B$1642,2,0),"")</f>
        <v/>
      </c>
      <c r="H62" s="71"/>
      <c r="I62" s="71"/>
    </row>
    <row r="63" spans="1:9">
      <c r="A63" s="70">
        <f>IF(ISNUMBER(SEARCH(My_Sheet!$B$8,B63)),MAX($A$1:A62)+1,0)</f>
        <v>0</v>
      </c>
      <c r="B63" s="69"/>
      <c r="C63" s="69"/>
      <c r="D63" s="69"/>
      <c r="E63" s="69"/>
      <c r="F63" s="71"/>
      <c r="G63" s="71" t="str">
        <f>IFERROR(VLOOKUP(ROWS($G$2:G63),$A$2:$B$1642,2,0),"")</f>
        <v/>
      </c>
      <c r="H63" s="71"/>
      <c r="I63" s="71"/>
    </row>
    <row r="64" spans="1:9">
      <c r="A64" s="70">
        <f>IF(ISNUMBER(SEARCH(My_Sheet!$B$8,B64)),MAX($A$1:A63)+1,0)</f>
        <v>0</v>
      </c>
      <c r="B64" s="69"/>
      <c r="C64" s="69"/>
      <c r="D64" s="69"/>
      <c r="E64" s="69"/>
      <c r="F64" s="71"/>
      <c r="G64" s="71" t="str">
        <f>IFERROR(VLOOKUP(ROWS($G$2:G64),$A$2:$B$1642,2,0),"")</f>
        <v/>
      </c>
      <c r="H64" s="71"/>
      <c r="I64" s="71"/>
    </row>
    <row r="65" spans="1:9">
      <c r="A65" s="70">
        <f>IF(ISNUMBER(SEARCH(My_Sheet!$B$8,B65)),MAX($A$1:A64)+1,0)</f>
        <v>0</v>
      </c>
      <c r="B65" s="69"/>
      <c r="C65" s="69"/>
      <c r="D65" s="69"/>
      <c r="E65" s="69"/>
      <c r="F65" s="71"/>
      <c r="G65" s="71" t="str">
        <f>IFERROR(VLOOKUP(ROWS($G$2:G65),$A$2:$B$1642,2,0),"")</f>
        <v/>
      </c>
      <c r="H65" s="71"/>
      <c r="I65" s="71"/>
    </row>
    <row r="66" spans="1:9">
      <c r="A66" s="70">
        <f>IF(ISNUMBER(SEARCH(My_Sheet!$B$8,B66)),MAX($A$1:A65)+1,0)</f>
        <v>0</v>
      </c>
      <c r="B66" s="69"/>
      <c r="C66" s="69"/>
      <c r="D66" s="69"/>
      <c r="E66" s="69"/>
      <c r="F66" s="71"/>
      <c r="G66" s="71" t="str">
        <f>IFERROR(VLOOKUP(ROWS($G$2:G66),$A$2:$B$1642,2,0),"")</f>
        <v/>
      </c>
      <c r="H66" s="71"/>
      <c r="I66" s="71"/>
    </row>
    <row r="67" spans="1:9">
      <c r="A67" s="70">
        <f>IF(ISNUMBER(SEARCH(My_Sheet!$B$8,B67)),MAX($A$1:A66)+1,0)</f>
        <v>0</v>
      </c>
      <c r="B67" s="69"/>
      <c r="C67" s="69"/>
      <c r="D67" s="69"/>
      <c r="E67" s="69"/>
      <c r="F67" s="71"/>
      <c r="G67" s="71" t="str">
        <f>IFERROR(VLOOKUP(ROWS($G$2:G67),$A$2:$B$1642,2,0),"")</f>
        <v/>
      </c>
      <c r="H67" s="71"/>
      <c r="I67" s="71"/>
    </row>
    <row r="68" spans="1:9">
      <c r="A68" s="70">
        <f>IF(ISNUMBER(SEARCH(My_Sheet!$B$8,B68)),MAX($A$1:A67)+1,0)</f>
        <v>0</v>
      </c>
      <c r="B68" s="69"/>
      <c r="C68" s="69"/>
      <c r="D68" s="69"/>
      <c r="E68" s="69"/>
      <c r="F68" s="71"/>
      <c r="G68" s="71" t="str">
        <f>IFERROR(VLOOKUP(ROWS($G$2:G68),$A$2:$B$1642,2,0),"")</f>
        <v/>
      </c>
      <c r="H68" s="71"/>
      <c r="I68" s="71"/>
    </row>
    <row r="69" spans="1:9">
      <c r="A69" s="70">
        <f>IF(ISNUMBER(SEARCH(My_Sheet!$B$8,B69)),MAX($A$1:A68)+1,0)</f>
        <v>0</v>
      </c>
      <c r="B69" s="69"/>
      <c r="C69" s="69"/>
      <c r="D69" s="69"/>
      <c r="E69" s="69"/>
      <c r="F69" s="71"/>
      <c r="G69" s="71" t="str">
        <f>IFERROR(VLOOKUP(ROWS($G$2:G69),$A$2:$B$1642,2,0),"")</f>
        <v/>
      </c>
      <c r="H69" s="71"/>
      <c r="I69" s="71"/>
    </row>
    <row r="70" spans="1:9">
      <c r="A70" s="70">
        <f>IF(ISNUMBER(SEARCH(My_Sheet!$B$8,B70)),MAX($A$1:A69)+1,0)</f>
        <v>0</v>
      </c>
      <c r="B70" s="69"/>
      <c r="C70" s="69"/>
      <c r="D70" s="69"/>
      <c r="E70" s="69"/>
      <c r="F70" s="71"/>
      <c r="G70" s="71" t="str">
        <f>IFERROR(VLOOKUP(ROWS($G$2:G70),$A$2:$B$1642,2,0),"")</f>
        <v/>
      </c>
      <c r="H70" s="71"/>
      <c r="I70" s="71"/>
    </row>
    <row r="71" spans="1:9">
      <c r="A71" s="70">
        <f>IF(ISNUMBER(SEARCH(My_Sheet!$B$8,B71)),MAX($A$1:A70)+1,0)</f>
        <v>0</v>
      </c>
      <c r="B71" s="69"/>
      <c r="C71" s="69"/>
      <c r="D71" s="69"/>
      <c r="E71" s="69"/>
      <c r="F71" s="71"/>
      <c r="G71" s="71" t="str">
        <f>IFERROR(VLOOKUP(ROWS($G$2:G71),$A$2:$B$1642,2,0),"")</f>
        <v/>
      </c>
      <c r="H71" s="71"/>
      <c r="I71" s="71"/>
    </row>
    <row r="72" spans="1:9">
      <c r="A72" s="70">
        <f>IF(ISNUMBER(SEARCH(My_Sheet!$B$8,B72)),MAX($A$1:A71)+1,0)</f>
        <v>0</v>
      </c>
      <c r="B72" s="69"/>
      <c r="C72" s="69"/>
      <c r="D72" s="69"/>
      <c r="E72" s="69"/>
      <c r="F72" s="71"/>
      <c r="G72" s="71" t="str">
        <f>IFERROR(VLOOKUP(ROWS($G$2:G72),$A$2:$B$1642,2,0),"")</f>
        <v/>
      </c>
      <c r="H72" s="71"/>
      <c r="I72" s="71"/>
    </row>
    <row r="73" spans="1:9">
      <c r="A73" s="70">
        <f>IF(ISNUMBER(SEARCH(My_Sheet!$B$8,B73)),MAX($A$1:A72)+1,0)</f>
        <v>0</v>
      </c>
      <c r="B73" s="69"/>
      <c r="C73" s="69"/>
      <c r="D73" s="69"/>
      <c r="E73" s="69"/>
      <c r="F73" s="71"/>
      <c r="G73" s="71" t="str">
        <f>IFERROR(VLOOKUP(ROWS($G$2:G73),$A$2:$B$1642,2,0),"")</f>
        <v/>
      </c>
      <c r="H73" s="71"/>
      <c r="I73" s="71"/>
    </row>
    <row r="74" spans="1:9">
      <c r="A74" s="70">
        <f>IF(ISNUMBER(SEARCH(My_Sheet!$B$8,B74)),MAX($A$1:A73)+1,0)</f>
        <v>0</v>
      </c>
      <c r="B74" s="69"/>
      <c r="C74" s="69"/>
      <c r="D74" s="69"/>
      <c r="E74" s="69"/>
      <c r="F74" s="71"/>
      <c r="G74" s="71" t="str">
        <f>IFERROR(VLOOKUP(ROWS($G$2:G74),$A$2:$B$1642,2,0),"")</f>
        <v/>
      </c>
      <c r="H74" s="71"/>
      <c r="I74" s="71"/>
    </row>
    <row r="75" spans="1:9">
      <c r="A75" s="70">
        <f>IF(ISNUMBER(SEARCH(My_Sheet!$B$8,B75)),MAX($A$1:A74)+1,0)</f>
        <v>0</v>
      </c>
      <c r="B75" s="69"/>
      <c r="C75" s="69"/>
      <c r="D75" s="69"/>
      <c r="E75" s="69"/>
      <c r="F75" s="71"/>
      <c r="G75" s="71" t="str">
        <f>IFERROR(VLOOKUP(ROWS($G$2:G75),$A$2:$B$1642,2,0),"")</f>
        <v/>
      </c>
      <c r="H75" s="71"/>
      <c r="I75" s="71"/>
    </row>
    <row r="76" spans="1:9">
      <c r="A76" s="70">
        <f>IF(ISNUMBER(SEARCH(My_Sheet!$B$8,B76)),MAX($A$1:A75)+1,0)</f>
        <v>0</v>
      </c>
      <c r="B76" s="69"/>
      <c r="C76" s="69"/>
      <c r="D76" s="69"/>
      <c r="E76" s="69"/>
      <c r="F76" s="71"/>
      <c r="G76" s="71" t="str">
        <f>IFERROR(VLOOKUP(ROWS($G$2:G76),$A$2:$B$1642,2,0),"")</f>
        <v/>
      </c>
      <c r="H76" s="71"/>
      <c r="I76" s="71"/>
    </row>
    <row r="77" spans="1:9">
      <c r="A77" s="70">
        <f>IF(ISNUMBER(SEARCH(My_Sheet!$B$8,B77)),MAX($A$1:A76)+1,0)</f>
        <v>0</v>
      </c>
      <c r="B77" s="69"/>
      <c r="C77" s="69"/>
      <c r="D77" s="69"/>
      <c r="E77" s="69"/>
      <c r="F77" s="71"/>
      <c r="G77" s="71" t="str">
        <f>IFERROR(VLOOKUP(ROWS($G$2:G77),$A$2:$B$1642,2,0),"")</f>
        <v/>
      </c>
      <c r="H77" s="71"/>
      <c r="I77" s="71"/>
    </row>
    <row r="78" spans="1:9">
      <c r="A78" s="70">
        <f>IF(ISNUMBER(SEARCH(My_Sheet!$B$8,B78)),MAX($A$1:A77)+1,0)</f>
        <v>0</v>
      </c>
      <c r="B78" s="69"/>
      <c r="C78" s="69"/>
      <c r="D78" s="69"/>
      <c r="E78" s="69"/>
      <c r="F78" s="71"/>
      <c r="G78" s="71" t="str">
        <f>IFERROR(VLOOKUP(ROWS($G$2:G78),$A$2:$B$1642,2,0),"")</f>
        <v/>
      </c>
      <c r="H78" s="71"/>
      <c r="I78" s="71"/>
    </row>
    <row r="79" spans="1:9">
      <c r="A79" s="70">
        <f>IF(ISNUMBER(SEARCH(My_Sheet!$B$8,B79)),MAX($A$1:A78)+1,0)</f>
        <v>0</v>
      </c>
      <c r="B79" s="69"/>
      <c r="C79" s="69"/>
      <c r="D79" s="69"/>
      <c r="E79" s="69"/>
      <c r="F79" s="71"/>
      <c r="G79" s="71" t="str">
        <f>IFERROR(VLOOKUP(ROWS($G$2:G79),$A$2:$B$1642,2,0),"")</f>
        <v/>
      </c>
      <c r="H79" s="71"/>
      <c r="I79" s="71"/>
    </row>
    <row r="80" spans="1:9">
      <c r="A80" s="70">
        <f>IF(ISNUMBER(SEARCH(My_Sheet!$B$8,B80)),MAX($A$1:A79)+1,0)</f>
        <v>0</v>
      </c>
      <c r="B80" s="69"/>
      <c r="C80" s="69"/>
      <c r="D80" s="69"/>
      <c r="E80" s="69"/>
      <c r="F80" s="71"/>
      <c r="G80" s="71" t="str">
        <f>IFERROR(VLOOKUP(ROWS($G$2:G80),$A$2:$B$1642,2,0),"")</f>
        <v/>
      </c>
      <c r="H80" s="71"/>
      <c r="I80" s="71"/>
    </row>
    <row r="81" spans="1:9">
      <c r="A81" s="70">
        <f>IF(ISNUMBER(SEARCH(My_Sheet!$B$8,B81)),MAX($A$1:A80)+1,0)</f>
        <v>0</v>
      </c>
      <c r="B81" s="69"/>
      <c r="C81" s="69"/>
      <c r="D81" s="69"/>
      <c r="E81" s="69"/>
      <c r="F81" s="71"/>
      <c r="G81" s="71" t="str">
        <f>IFERROR(VLOOKUP(ROWS($G$2:G81),$A$2:$B$1642,2,0),"")</f>
        <v/>
      </c>
      <c r="H81" s="71"/>
      <c r="I81" s="71"/>
    </row>
    <row r="82" spans="1:9">
      <c r="A82" s="70">
        <f>IF(ISNUMBER(SEARCH(My_Sheet!$B$8,B82)),MAX($A$1:A81)+1,0)</f>
        <v>0</v>
      </c>
      <c r="B82" s="69"/>
      <c r="C82" s="69"/>
      <c r="D82" s="69"/>
      <c r="E82" s="69"/>
      <c r="F82" s="71"/>
      <c r="G82" s="71" t="str">
        <f>IFERROR(VLOOKUP(ROWS($G$2:G82),$A$2:$B$1642,2,0),"")</f>
        <v/>
      </c>
      <c r="H82" s="71"/>
      <c r="I82" s="71"/>
    </row>
    <row r="83" spans="1:9">
      <c r="A83" s="70">
        <f>IF(ISNUMBER(SEARCH(My_Sheet!$B$8,B83)),MAX($A$1:A82)+1,0)</f>
        <v>0</v>
      </c>
      <c r="B83" s="69"/>
      <c r="C83" s="69"/>
      <c r="D83" s="69"/>
      <c r="E83" s="69"/>
      <c r="F83" s="71"/>
      <c r="G83" s="71" t="str">
        <f>IFERROR(VLOOKUP(ROWS($G$2:G83),$A$2:$B$1642,2,0),"")</f>
        <v/>
      </c>
      <c r="H83" s="71"/>
      <c r="I83" s="71"/>
    </row>
    <row r="84" spans="1:9">
      <c r="A84" s="70">
        <f>IF(ISNUMBER(SEARCH(My_Sheet!$B$8,B84)),MAX($A$1:A83)+1,0)</f>
        <v>0</v>
      </c>
      <c r="B84" s="69"/>
      <c r="C84" s="69"/>
      <c r="D84" s="69"/>
      <c r="E84" s="69"/>
      <c r="F84" s="71"/>
      <c r="G84" s="71" t="str">
        <f>IFERROR(VLOOKUP(ROWS($G$2:G84),$A$2:$B$1642,2,0),"")</f>
        <v/>
      </c>
      <c r="H84" s="71"/>
      <c r="I84" s="71"/>
    </row>
    <row r="85" spans="1:9">
      <c r="A85" s="70">
        <f>IF(ISNUMBER(SEARCH(My_Sheet!$B$8,B85)),MAX($A$1:A84)+1,0)</f>
        <v>0</v>
      </c>
      <c r="B85" s="69"/>
      <c r="C85" s="69"/>
      <c r="D85" s="69"/>
      <c r="E85" s="69"/>
      <c r="G85" s="56" t="str">
        <f>IFERROR(VLOOKUP(ROWS($G$2:G85),$A$2:$B$1642,2,0),"")</f>
        <v/>
      </c>
    </row>
    <row r="86" spans="1:9">
      <c r="A86" s="70">
        <f>IF(ISNUMBER(SEARCH(My_Sheet!$B$8,B86)),MAX($A$1:A85)+1,0)</f>
        <v>0</v>
      </c>
      <c r="B86" s="69"/>
      <c r="C86" s="69"/>
      <c r="D86" s="69"/>
      <c r="E86" s="69"/>
      <c r="G86" s="56" t="str">
        <f>IFERROR(VLOOKUP(ROWS($G$2:G86),$A$2:$B$1642,2,0),"")</f>
        <v/>
      </c>
    </row>
    <row r="87" spans="1:9">
      <c r="A87" s="70">
        <f>IF(ISNUMBER(SEARCH(My_Sheet!$B$8,B87)),MAX($A$1:A86)+1,0)</f>
        <v>0</v>
      </c>
      <c r="B87" s="69"/>
      <c r="C87" s="69"/>
      <c r="D87" s="69"/>
      <c r="E87" s="69"/>
      <c r="G87" s="56" t="str">
        <f>IFERROR(VLOOKUP(ROWS($G$2:G87),$A$2:$B$1642,2,0),"")</f>
        <v/>
      </c>
    </row>
    <row r="88" spans="1:9">
      <c r="A88" s="70">
        <f>IF(ISNUMBER(SEARCH(My_Sheet!$B$8,B88)),MAX($A$1:A87)+1,0)</f>
        <v>0</v>
      </c>
      <c r="B88" s="69"/>
      <c r="C88" s="69"/>
      <c r="D88" s="69"/>
      <c r="E88" s="69"/>
      <c r="G88" s="56" t="str">
        <f>IFERROR(VLOOKUP(ROWS($G$2:G88),$A$2:$B$1642,2,0),"")</f>
        <v/>
      </c>
    </row>
    <row r="89" spans="1:9">
      <c r="A89" s="70">
        <f>IF(ISNUMBER(SEARCH(My_Sheet!$B$8,B89)),MAX($A$1:A88)+1,0)</f>
        <v>0</v>
      </c>
      <c r="B89" s="69"/>
      <c r="C89" s="69"/>
      <c r="D89" s="69"/>
      <c r="E89" s="69"/>
      <c r="G89" s="56" t="str">
        <f>IFERROR(VLOOKUP(ROWS($G$2:G89),$A$2:$B$1642,2,0),"")</f>
        <v/>
      </c>
    </row>
    <row r="90" spans="1:9">
      <c r="A90" s="70">
        <f>IF(ISNUMBER(SEARCH(My_Sheet!$B$8,B90)),MAX($A$1:A89)+1,0)</f>
        <v>0</v>
      </c>
      <c r="B90" s="69"/>
      <c r="C90" s="69"/>
      <c r="D90" s="69"/>
      <c r="E90" s="69"/>
      <c r="G90" s="56" t="str">
        <f>IFERROR(VLOOKUP(ROWS($G$2:G90),$A$2:$B$1642,2,0),"")</f>
        <v/>
      </c>
    </row>
    <row r="91" spans="1:9">
      <c r="A91" s="70">
        <f>IF(ISNUMBER(SEARCH(My_Sheet!$B$8,B91)),MAX($A$1:A90)+1,0)</f>
        <v>0</v>
      </c>
      <c r="B91" s="69"/>
      <c r="C91" s="69"/>
      <c r="D91" s="69"/>
      <c r="E91" s="69"/>
    </row>
    <row r="92" spans="1:9">
      <c r="A92" s="70">
        <f>IF(ISNUMBER(SEARCH(My_Sheet!$B$8,B92)),MAX($A$1:A91)+1,0)</f>
        <v>0</v>
      </c>
      <c r="B92" s="69"/>
      <c r="C92" s="69"/>
      <c r="D92" s="69"/>
      <c r="E92" s="69"/>
    </row>
    <row r="93" spans="1:9">
      <c r="A93" s="70">
        <f>IF(ISNUMBER(SEARCH(My_Sheet!$B$8,B93)),MAX($A$1:A92)+1,0)</f>
        <v>0</v>
      </c>
      <c r="B93" s="69"/>
      <c r="C93" s="69"/>
      <c r="D93" s="69"/>
      <c r="E93" s="69"/>
    </row>
    <row r="94" spans="1:9">
      <c r="A94" s="70">
        <f>IF(ISNUMBER(SEARCH(My_Sheet!$B$8,B94)),MAX($A$1:A93)+1,0)</f>
        <v>0</v>
      </c>
      <c r="B94" s="69"/>
      <c r="C94" s="69"/>
      <c r="D94" s="69"/>
      <c r="E94" s="69"/>
    </row>
    <row r="95" spans="1:9">
      <c r="A95" s="70">
        <f>IF(ISNUMBER(SEARCH(My_Sheet!$B$8,B95)),MAX($A$1:A94)+1,0)</f>
        <v>0</v>
      </c>
      <c r="B95" s="69"/>
      <c r="C95" s="69"/>
      <c r="D95" s="69"/>
      <c r="E95" s="69"/>
    </row>
    <row r="96" spans="1:9">
      <c r="A96" s="70">
        <f>IF(ISNUMBER(SEARCH(My_Sheet!$B$8,B96)),MAX($A$1:A95)+1,0)</f>
        <v>0</v>
      </c>
      <c r="B96" s="69"/>
      <c r="C96" s="69"/>
      <c r="D96" s="69"/>
      <c r="E96" s="69"/>
    </row>
    <row r="97" spans="1:5">
      <c r="A97" s="70">
        <f>IF(ISNUMBER(SEARCH(My_Sheet!$B$8,B97)),MAX($A$1:A96)+1,0)</f>
        <v>0</v>
      </c>
      <c r="B97" s="69"/>
      <c r="C97" s="69"/>
      <c r="D97" s="69"/>
      <c r="E97" s="69"/>
    </row>
    <row r="98" spans="1:5">
      <c r="A98" s="70">
        <f>IF(ISNUMBER(SEARCH(My_Sheet!$B$8,B98)),MAX($A$1:A97)+1,0)</f>
        <v>0</v>
      </c>
      <c r="B98" s="69"/>
      <c r="C98" s="69"/>
      <c r="D98" s="69"/>
      <c r="E98" s="69"/>
    </row>
    <row r="99" spans="1:5">
      <c r="A99" s="70">
        <f>IF(ISNUMBER(SEARCH(My_Sheet!$B$8,B99)),MAX($A$1:A98)+1,0)</f>
        <v>0</v>
      </c>
      <c r="B99" s="69"/>
      <c r="C99" s="69"/>
      <c r="D99" s="69"/>
      <c r="E99" s="69"/>
    </row>
    <row r="100" spans="1:5">
      <c r="A100" s="70">
        <f>IF(ISNUMBER(SEARCH(My_Sheet!$B$8,B100)),MAX($A$1:A99)+1,0)</f>
        <v>0</v>
      </c>
      <c r="B100" s="69"/>
      <c r="C100" s="69"/>
      <c r="D100" s="69"/>
      <c r="E100" s="69"/>
    </row>
    <row r="101" spans="1:5">
      <c r="A101" s="70">
        <f>IF(ISNUMBER(SEARCH(My_Sheet!$B$8,B101)),MAX($A$1:A100)+1,0)</f>
        <v>0</v>
      </c>
      <c r="B101" s="69"/>
      <c r="C101" s="69"/>
      <c r="D101" s="69"/>
      <c r="E101" s="69"/>
    </row>
    <row r="102" spans="1:5">
      <c r="A102" s="70">
        <f>IF(ISNUMBER(SEARCH(My_Sheet!$B$8,B102)),MAX($A$1:A101)+1,0)</f>
        <v>0</v>
      </c>
      <c r="B102" s="69"/>
      <c r="C102" s="69"/>
      <c r="D102" s="69"/>
      <c r="E102" s="69"/>
    </row>
    <row r="103" spans="1:5">
      <c r="A103" s="70">
        <f>IF(ISNUMBER(SEARCH(My_Sheet!$B$8,B103)),MAX($A$1:A102)+1,0)</f>
        <v>0</v>
      </c>
      <c r="B103" s="69"/>
      <c r="C103" s="69"/>
      <c r="D103" s="69"/>
      <c r="E103" s="69"/>
    </row>
    <row r="104" spans="1:5">
      <c r="A104" s="70">
        <f>IF(ISNUMBER(SEARCH(My_Sheet!$B$8,B104)),MAX($A$1:A103)+1,0)</f>
        <v>0</v>
      </c>
      <c r="B104" s="69"/>
      <c r="C104" s="69"/>
      <c r="D104" s="69"/>
      <c r="E104" s="69"/>
    </row>
    <row r="105" spans="1:5">
      <c r="A105" s="70">
        <f>IF(ISNUMBER(SEARCH(My_Sheet!$B$8,B105)),MAX($A$1:A104)+1,0)</f>
        <v>0</v>
      </c>
      <c r="B105" s="69"/>
      <c r="C105" s="69"/>
      <c r="D105" s="69"/>
      <c r="E105" s="69"/>
    </row>
    <row r="106" spans="1:5">
      <c r="A106" s="70">
        <f>IF(ISNUMBER(SEARCH(My_Sheet!$B$8,B106)),MAX($A$1:A105)+1,0)</f>
        <v>0</v>
      </c>
      <c r="B106" s="69"/>
      <c r="C106" s="69"/>
      <c r="D106" s="69"/>
      <c r="E106" s="69"/>
    </row>
    <row r="107" spans="1:5">
      <c r="A107" s="70">
        <f>IF(ISNUMBER(SEARCH(My_Sheet!$B$8,B107)),MAX($A$1:A106)+1,0)</f>
        <v>0</v>
      </c>
      <c r="B107" s="69"/>
      <c r="C107" s="69"/>
      <c r="D107" s="69"/>
      <c r="E107" s="69"/>
    </row>
    <row r="108" spans="1:5">
      <c r="A108" s="70">
        <f>IF(ISNUMBER(SEARCH(My_Sheet!$B$8,B108)),MAX($A$1:A107)+1,0)</f>
        <v>0</v>
      </c>
      <c r="B108" s="69"/>
      <c r="C108" s="69"/>
      <c r="D108" s="69"/>
      <c r="E108" s="69"/>
    </row>
    <row r="109" spans="1:5">
      <c r="A109" s="70">
        <f>IF(ISNUMBER(SEARCH(My_Sheet!$B$8,B109)),MAX($A$1:A108)+1,0)</f>
        <v>0</v>
      </c>
      <c r="B109" s="69"/>
      <c r="C109" s="69"/>
      <c r="D109" s="69"/>
      <c r="E109" s="69"/>
    </row>
    <row r="110" spans="1:5">
      <c r="A110" s="70">
        <f>IF(ISNUMBER(SEARCH(My_Sheet!$B$8,B110)),MAX($A$1:A109)+1,0)</f>
        <v>0</v>
      </c>
      <c r="B110" s="69"/>
      <c r="C110" s="69"/>
      <c r="D110" s="69"/>
      <c r="E110" s="69"/>
    </row>
    <row r="111" spans="1:5">
      <c r="A111" s="70">
        <f>IF(ISNUMBER(SEARCH(My_Sheet!$B$8,B111)),MAX($A$1:A110)+1,0)</f>
        <v>0</v>
      </c>
      <c r="B111" s="69"/>
      <c r="C111" s="69"/>
      <c r="D111" s="69"/>
      <c r="E111" s="69"/>
    </row>
    <row r="112" spans="1:5">
      <c r="A112" s="70">
        <f>IF(ISNUMBER(SEARCH(My_Sheet!$B$8,B112)),MAX($A$1:A111)+1,0)</f>
        <v>0</v>
      </c>
      <c r="B112" s="69"/>
      <c r="C112" s="69"/>
      <c r="D112" s="69"/>
      <c r="E112" s="69"/>
    </row>
    <row r="113" spans="1:5">
      <c r="A113" s="70">
        <f>IF(ISNUMBER(SEARCH(My_Sheet!$B$8,B113)),MAX($A$1:A112)+1,0)</f>
        <v>0</v>
      </c>
      <c r="B113" s="69"/>
      <c r="C113" s="69"/>
      <c r="D113" s="69"/>
      <c r="E113" s="69"/>
    </row>
    <row r="114" spans="1:5">
      <c r="A114" s="70">
        <f>IF(ISNUMBER(SEARCH(My_Sheet!$B$8,B114)),MAX($A$1:A113)+1,0)</f>
        <v>0</v>
      </c>
      <c r="B114" s="69"/>
      <c r="C114" s="69"/>
      <c r="D114" s="69"/>
      <c r="E114" s="69"/>
    </row>
    <row r="115" spans="1:5">
      <c r="A115" s="70">
        <f>IF(ISNUMBER(SEARCH(My_Sheet!$B$8,B115)),MAX($A$1:A114)+1,0)</f>
        <v>0</v>
      </c>
      <c r="B115" s="69"/>
      <c r="C115" s="69"/>
      <c r="D115" s="69"/>
      <c r="E115" s="69"/>
    </row>
    <row r="116" spans="1:5">
      <c r="A116" s="70">
        <f>IF(ISNUMBER(SEARCH(My_Sheet!$B$8,B116)),MAX($A$1:A115)+1,0)</f>
        <v>0</v>
      </c>
      <c r="B116" s="69"/>
      <c r="C116" s="69"/>
      <c r="D116" s="69"/>
      <c r="E116" s="69"/>
    </row>
    <row r="117" spans="1:5">
      <c r="A117" s="70">
        <f>IF(ISNUMBER(SEARCH(My_Sheet!$B$8,B117)),MAX($A$1:A116)+1,0)</f>
        <v>0</v>
      </c>
      <c r="B117" s="69"/>
      <c r="C117" s="69"/>
      <c r="D117" s="69"/>
      <c r="E117" s="69"/>
    </row>
    <row r="118" spans="1:5">
      <c r="A118" s="70">
        <f>IF(ISNUMBER(SEARCH(My_Sheet!$B$8,B118)),MAX($A$1:A117)+1,0)</f>
        <v>0</v>
      </c>
      <c r="B118" s="69"/>
      <c r="C118" s="69"/>
      <c r="D118" s="69"/>
      <c r="E118" s="69"/>
    </row>
    <row r="119" spans="1:5">
      <c r="A119" s="70">
        <f>IF(ISNUMBER(SEARCH(My_Sheet!$B$8,B119)),MAX($A$1:A118)+1,0)</f>
        <v>0</v>
      </c>
      <c r="B119" s="69"/>
      <c r="C119" s="69"/>
      <c r="D119" s="69"/>
      <c r="E119" s="69"/>
    </row>
    <row r="120" spans="1:5">
      <c r="A120" s="70">
        <f>IF(ISNUMBER(SEARCH(My_Sheet!$B$8,B120)),MAX($A$1:A119)+1,0)</f>
        <v>0</v>
      </c>
      <c r="B120" s="69"/>
      <c r="C120" s="69"/>
      <c r="D120" s="69"/>
      <c r="E120" s="69"/>
    </row>
    <row r="121" spans="1:5">
      <c r="A121" s="70">
        <f>IF(ISNUMBER(SEARCH(My_Sheet!$B$8,B121)),MAX($A$1:A120)+1,0)</f>
        <v>0</v>
      </c>
      <c r="B121" s="69"/>
      <c r="C121" s="69"/>
      <c r="D121" s="69"/>
      <c r="E121" s="69"/>
    </row>
    <row r="122" spans="1:5">
      <c r="A122" s="70">
        <f>IF(ISNUMBER(SEARCH(My_Sheet!$B$8,B122)),MAX($A$1:A121)+1,0)</f>
        <v>0</v>
      </c>
      <c r="B122" s="69"/>
      <c r="C122" s="69"/>
      <c r="D122" s="69"/>
      <c r="E122" s="69"/>
    </row>
    <row r="123" spans="1:5">
      <c r="A123" s="70">
        <f>IF(ISNUMBER(SEARCH(My_Sheet!$B$8,B123)),MAX($A$1:A122)+1,0)</f>
        <v>0</v>
      </c>
      <c r="B123" s="69"/>
      <c r="C123" s="69"/>
      <c r="D123" s="69"/>
      <c r="E123" s="69"/>
    </row>
    <row r="124" spans="1:5">
      <c r="A124" s="70">
        <f>IF(ISNUMBER(SEARCH(My_Sheet!$B$8,B124)),MAX($A$1:A123)+1,0)</f>
        <v>0</v>
      </c>
      <c r="B124" s="69"/>
      <c r="C124" s="69"/>
      <c r="D124" s="69"/>
      <c r="E124" s="69"/>
    </row>
    <row r="125" spans="1:5">
      <c r="A125" s="70">
        <f>IF(ISNUMBER(SEARCH(My_Sheet!$B$8,B125)),MAX($A$1:A124)+1,0)</f>
        <v>0</v>
      </c>
      <c r="B125" s="69"/>
      <c r="C125" s="69"/>
      <c r="D125" s="69"/>
      <c r="E125" s="69"/>
    </row>
    <row r="126" spans="1:5">
      <c r="A126" s="70">
        <f>IF(ISNUMBER(SEARCH(My_Sheet!$B$8,B126)),MAX($A$1:A125)+1,0)</f>
        <v>0</v>
      </c>
      <c r="B126" s="69"/>
      <c r="C126" s="69"/>
      <c r="D126" s="69"/>
      <c r="E126" s="69"/>
    </row>
    <row r="127" spans="1:5">
      <c r="A127" s="70">
        <f>IF(ISNUMBER(SEARCH(My_Sheet!$B$8,B127)),MAX($A$1:A126)+1,0)</f>
        <v>0</v>
      </c>
      <c r="B127" s="69"/>
      <c r="C127" s="69"/>
      <c r="D127" s="69"/>
      <c r="E127" s="69"/>
    </row>
    <row r="128" spans="1:5">
      <c r="A128" s="70">
        <f>IF(ISNUMBER(SEARCH(My_Sheet!$B$8,B128)),MAX($A$1:A127)+1,0)</f>
        <v>0</v>
      </c>
      <c r="B128" s="69"/>
      <c r="C128" s="69"/>
      <c r="D128" s="69"/>
      <c r="E128" s="69"/>
    </row>
    <row r="129" spans="1:5">
      <c r="A129" s="70">
        <f>IF(ISNUMBER(SEARCH(My_Sheet!$B$8,B129)),MAX($A$1:A128)+1,0)</f>
        <v>0</v>
      </c>
      <c r="B129" s="69"/>
      <c r="C129" s="69"/>
      <c r="D129" s="69"/>
      <c r="E129" s="69"/>
    </row>
    <row r="130" spans="1:5">
      <c r="A130" s="70">
        <f>IF(ISNUMBER(SEARCH(My_Sheet!$B$8,B130)),MAX($A$1:A129)+1,0)</f>
        <v>0</v>
      </c>
      <c r="B130" s="69"/>
      <c r="C130" s="69"/>
      <c r="D130" s="69"/>
      <c r="E130" s="69"/>
    </row>
    <row r="131" spans="1:5">
      <c r="A131" s="70">
        <f>IF(ISNUMBER(SEARCH(My_Sheet!$B$8,B131)),MAX($A$1:A130)+1,0)</f>
        <v>0</v>
      </c>
      <c r="B131" s="69"/>
      <c r="C131" s="69"/>
      <c r="D131" s="69"/>
      <c r="E131" s="69"/>
    </row>
    <row r="132" spans="1:5">
      <c r="A132" s="70">
        <f>IF(ISNUMBER(SEARCH(My_Sheet!$B$8,B132)),MAX($A$1:A131)+1,0)</f>
        <v>0</v>
      </c>
      <c r="B132" s="69"/>
      <c r="C132" s="69"/>
      <c r="D132" s="69"/>
      <c r="E132" s="69"/>
    </row>
    <row r="133" spans="1:5">
      <c r="A133" s="70">
        <f>IF(ISNUMBER(SEARCH(My_Sheet!$B$8,B133)),MAX($A$1:A132)+1,0)</f>
        <v>0</v>
      </c>
      <c r="B133" s="69"/>
      <c r="C133" s="69"/>
      <c r="D133" s="69"/>
      <c r="E133" s="69"/>
    </row>
    <row r="134" spans="1:5">
      <c r="A134" s="70">
        <f>IF(ISNUMBER(SEARCH(My_Sheet!$B$8,B134)),MAX($A$1:A133)+1,0)</f>
        <v>0</v>
      </c>
      <c r="B134" s="69"/>
      <c r="C134" s="69"/>
      <c r="D134" s="69"/>
      <c r="E134" s="69"/>
    </row>
    <row r="135" spans="1:5">
      <c r="A135" s="70">
        <f>IF(ISNUMBER(SEARCH(My_Sheet!$B$8,B135)),MAX($A$1:A134)+1,0)</f>
        <v>0</v>
      </c>
      <c r="B135" s="69"/>
      <c r="C135" s="69"/>
      <c r="D135" s="69"/>
      <c r="E135" s="69"/>
    </row>
    <row r="136" spans="1:5">
      <c r="A136" s="70">
        <f>IF(ISNUMBER(SEARCH(My_Sheet!$B$8,B136)),MAX($A$1:A135)+1,0)</f>
        <v>0</v>
      </c>
      <c r="B136" s="69"/>
      <c r="C136" s="69"/>
      <c r="D136" s="69"/>
      <c r="E136" s="69"/>
    </row>
    <row r="137" spans="1:5">
      <c r="A137" s="70">
        <f>IF(ISNUMBER(SEARCH(My_Sheet!$B$8,B137)),MAX($A$1:A136)+1,0)</f>
        <v>0</v>
      </c>
      <c r="B137" s="69"/>
      <c r="C137" s="69"/>
      <c r="D137" s="69"/>
      <c r="E137" s="69"/>
    </row>
    <row r="138" spans="1:5">
      <c r="A138" s="70">
        <f>IF(ISNUMBER(SEARCH(My_Sheet!$B$8,B138)),MAX($A$1:A137)+1,0)</f>
        <v>0</v>
      </c>
      <c r="B138" s="69"/>
      <c r="C138" s="69"/>
      <c r="D138" s="69"/>
      <c r="E138" s="69"/>
    </row>
    <row r="139" spans="1:5">
      <c r="A139" s="70">
        <f>IF(ISNUMBER(SEARCH(My_Sheet!$B$8,B139)),MAX($A$1:A138)+1,0)</f>
        <v>0</v>
      </c>
      <c r="B139" s="69"/>
      <c r="C139" s="69"/>
      <c r="D139" s="69"/>
      <c r="E139" s="69"/>
    </row>
    <row r="140" spans="1:5">
      <c r="A140" s="70">
        <f>IF(ISNUMBER(SEARCH(My_Sheet!$B$8,B140)),MAX($A$1:A139)+1,0)</f>
        <v>0</v>
      </c>
      <c r="B140" s="69"/>
      <c r="C140" s="69"/>
      <c r="D140" s="69"/>
      <c r="E140" s="69"/>
    </row>
    <row r="141" spans="1:5">
      <c r="A141" s="70">
        <f>IF(ISNUMBER(SEARCH(My_Sheet!$B$8,B141)),MAX($A$1:A140)+1,0)</f>
        <v>0</v>
      </c>
      <c r="B141" s="69"/>
      <c r="C141" s="69"/>
      <c r="D141" s="69"/>
      <c r="E141" s="69"/>
    </row>
    <row r="142" spans="1:5">
      <c r="A142" s="70">
        <f>IF(ISNUMBER(SEARCH(My_Sheet!$B$8,B142)),MAX($A$1:A141)+1,0)</f>
        <v>0</v>
      </c>
      <c r="B142" s="69"/>
      <c r="C142" s="69"/>
      <c r="D142" s="69"/>
      <c r="E142" s="69"/>
    </row>
    <row r="143" spans="1:5">
      <c r="A143" s="70">
        <f>IF(ISNUMBER(SEARCH(My_Sheet!$B$8,B143)),MAX($A$1:A142)+1,0)</f>
        <v>0</v>
      </c>
      <c r="B143" s="69"/>
      <c r="C143" s="69"/>
      <c r="D143" s="69"/>
      <c r="E143" s="69"/>
    </row>
    <row r="144" spans="1:5">
      <c r="A144" s="70">
        <f>IF(ISNUMBER(SEARCH(My_Sheet!$B$8,B144)),MAX($A$1:A143)+1,0)</f>
        <v>0</v>
      </c>
      <c r="B144" s="69"/>
      <c r="C144" s="69"/>
      <c r="D144" s="69"/>
      <c r="E144" s="69"/>
    </row>
    <row r="145" spans="1:1">
      <c r="A145" s="70">
        <f>IF(ISNUMBER(SEARCH(My_Sheet!$B$8,B145)),MAX($A$1:A144)+1,0)</f>
        <v>0</v>
      </c>
    </row>
    <row r="146" spans="1:1">
      <c r="A146" s="70">
        <f>IF(ISNUMBER(SEARCH(My_Sheet!$B$8,B146)),MAX($A$1:A145)+1,0)</f>
        <v>0</v>
      </c>
    </row>
    <row r="147" spans="1:1">
      <c r="A147" s="70">
        <f>IF(ISNUMBER(SEARCH(My_Sheet!$B$8,B147)),MAX($A$1:A146)+1,0)</f>
        <v>0</v>
      </c>
    </row>
    <row r="148" spans="1:1">
      <c r="A148" s="70">
        <f>IF(ISNUMBER(SEARCH(My_Sheet!$B$8,B148)),MAX($A$1:A147)+1,0)</f>
        <v>0</v>
      </c>
    </row>
    <row r="149" spans="1:1">
      <c r="A149" s="70">
        <f>IF(ISNUMBER(SEARCH(My_Sheet!$B$8,B149)),MAX($A$1:A148)+1,0)</f>
        <v>0</v>
      </c>
    </row>
    <row r="150" spans="1:1">
      <c r="A150" s="70">
        <f>IF(ISNUMBER(SEARCH(My_Sheet!$B$8,B150)),MAX($A$1:A149)+1,0)</f>
        <v>0</v>
      </c>
    </row>
    <row r="151" spans="1:1">
      <c r="A151" s="70">
        <f>IF(ISNUMBER(SEARCH(My_Sheet!$B$8,B151)),MAX($A$1:A150)+1,0)</f>
        <v>0</v>
      </c>
    </row>
    <row r="152" spans="1:1">
      <c r="A152" s="70">
        <f>IF(ISNUMBER(SEARCH(My_Sheet!$B$8,B152)),MAX($A$1:A151)+1,0)</f>
        <v>0</v>
      </c>
    </row>
    <row r="153" spans="1:1">
      <c r="A153" s="70">
        <f>IF(ISNUMBER(SEARCH(My_Sheet!$B$8,B153)),MAX($A$1:A152)+1,0)</f>
        <v>0</v>
      </c>
    </row>
    <row r="154" spans="1:1">
      <c r="A154" s="70">
        <f>IF(ISNUMBER(SEARCH(My_Sheet!$B$8,B154)),MAX($A$1:A153)+1,0)</f>
        <v>0</v>
      </c>
    </row>
    <row r="155" spans="1:1">
      <c r="A155" s="70">
        <f>IF(ISNUMBER(SEARCH(My_Sheet!$B$8,B155)),MAX($A$1:A154)+1,0)</f>
        <v>0</v>
      </c>
    </row>
    <row r="156" spans="1:1">
      <c r="A156" s="70">
        <f>IF(ISNUMBER(SEARCH(My_Sheet!$B$8,B156)),MAX($A$1:A155)+1,0)</f>
        <v>0</v>
      </c>
    </row>
    <row r="157" spans="1:1">
      <c r="A157" s="70">
        <f>IF(ISNUMBER(SEARCH(My_Sheet!$B$8,B157)),MAX($A$1:A156)+1,0)</f>
        <v>0</v>
      </c>
    </row>
    <row r="158" spans="1:1">
      <c r="A158" s="70">
        <f>IF(ISNUMBER(SEARCH(My_Sheet!$B$8,B158)),MAX($A$1:A157)+1,0)</f>
        <v>0</v>
      </c>
    </row>
    <row r="159" spans="1:1">
      <c r="A159" s="70">
        <f>IF(ISNUMBER(SEARCH(My_Sheet!$B$8,B159)),MAX($A$1:A158)+1,0)</f>
        <v>0</v>
      </c>
    </row>
    <row r="160" spans="1:1">
      <c r="A160" s="70">
        <f>IF(ISNUMBER(SEARCH(My_Sheet!$B$8,B160)),MAX($A$1:A159)+1,0)</f>
        <v>0</v>
      </c>
    </row>
    <row r="161" spans="1:1">
      <c r="A161" s="70">
        <f>IF(ISNUMBER(SEARCH(My_Sheet!$B$8,B161)),MAX($A$1:A160)+1,0)</f>
        <v>0</v>
      </c>
    </row>
    <row r="162" spans="1:1">
      <c r="A162" s="70">
        <f>IF(ISNUMBER(SEARCH(My_Sheet!$B$8,B162)),MAX($A$1:A161)+1,0)</f>
        <v>0</v>
      </c>
    </row>
    <row r="163" spans="1:1">
      <c r="A163" s="70">
        <f>IF(ISNUMBER(SEARCH(My_Sheet!$B$8,B163)),MAX($A$1:A162)+1,0)</f>
        <v>0</v>
      </c>
    </row>
    <row r="164" spans="1:1">
      <c r="A164" s="70">
        <f>IF(ISNUMBER(SEARCH(My_Sheet!$B$8,B164)),MAX($A$1:A163)+1,0)</f>
        <v>0</v>
      </c>
    </row>
    <row r="165" spans="1:1">
      <c r="A165" s="70">
        <f>IF(ISNUMBER(SEARCH(My_Sheet!$B$8,B165)),MAX($A$1:A164)+1,0)</f>
        <v>0</v>
      </c>
    </row>
    <row r="166" spans="1:1">
      <c r="A166" s="70">
        <f>IF(ISNUMBER(SEARCH(My_Sheet!$B$8,B166)),MAX($A$1:A165)+1,0)</f>
        <v>0</v>
      </c>
    </row>
    <row r="167" spans="1:1">
      <c r="A167" s="70">
        <f>IF(ISNUMBER(SEARCH(My_Sheet!$B$8,B167)),MAX($A$1:A166)+1,0)</f>
        <v>0</v>
      </c>
    </row>
    <row r="168" spans="1:1">
      <c r="A168" s="70">
        <f>IF(ISNUMBER(SEARCH(My_Sheet!$B$8,B168)),MAX($A$1:A167)+1,0)</f>
        <v>0</v>
      </c>
    </row>
    <row r="169" spans="1:1">
      <c r="A169" s="70">
        <f>IF(ISNUMBER(SEARCH(My_Sheet!$B$8,B169)),MAX($A$1:A168)+1,0)</f>
        <v>0</v>
      </c>
    </row>
    <row r="170" spans="1:1">
      <c r="A170" s="70">
        <f>IF(ISNUMBER(SEARCH(My_Sheet!$B$8,B170)),MAX($A$1:A169)+1,0)</f>
        <v>0</v>
      </c>
    </row>
    <row r="171" spans="1:1">
      <c r="A171" s="70">
        <f>IF(ISNUMBER(SEARCH(My_Sheet!$B$8,B171)),MAX($A$1:A170)+1,0)</f>
        <v>0</v>
      </c>
    </row>
    <row r="172" spans="1:1">
      <c r="A172" s="70">
        <f>IF(ISNUMBER(SEARCH(My_Sheet!$B$8,B172)),MAX($A$1:A171)+1,0)</f>
        <v>0</v>
      </c>
    </row>
    <row r="173" spans="1:1">
      <c r="A173" s="70">
        <f>IF(ISNUMBER(SEARCH(My_Sheet!$B$8,B173)),MAX($A$1:A172)+1,0)</f>
        <v>0</v>
      </c>
    </row>
    <row r="174" spans="1:1">
      <c r="A174" s="70">
        <f>IF(ISNUMBER(SEARCH(My_Sheet!$B$8,B174)),MAX($A$1:A173)+1,0)</f>
        <v>0</v>
      </c>
    </row>
    <row r="175" spans="1:1">
      <c r="A175" s="70">
        <f>IF(ISNUMBER(SEARCH(My_Sheet!$B$8,B175)),MAX($A$1:A174)+1,0)</f>
        <v>0</v>
      </c>
    </row>
    <row r="176" spans="1:1">
      <c r="A176" s="70">
        <f>IF(ISNUMBER(SEARCH(My_Sheet!$B$8,B176)),MAX($A$1:A175)+1,0)</f>
        <v>0</v>
      </c>
    </row>
    <row r="177" spans="1:1">
      <c r="A177" s="70">
        <f>IF(ISNUMBER(SEARCH(My_Sheet!$B$8,B177)),MAX($A$1:A176)+1,0)</f>
        <v>0</v>
      </c>
    </row>
    <row r="178" spans="1:1">
      <c r="A178" s="70">
        <f>IF(ISNUMBER(SEARCH(My_Sheet!$B$8,B178)),MAX($A$1:A177)+1,0)</f>
        <v>0</v>
      </c>
    </row>
    <row r="179" spans="1:1">
      <c r="A179" s="70">
        <f>IF(ISNUMBER(SEARCH(My_Sheet!$B$8,B179)),MAX($A$1:A178)+1,0)</f>
        <v>0</v>
      </c>
    </row>
    <row r="180" spans="1:1">
      <c r="A180" s="70">
        <f>IF(ISNUMBER(SEARCH(My_Sheet!$B$8,B180)),MAX($A$1:A179)+1,0)</f>
        <v>0</v>
      </c>
    </row>
    <row r="181" spans="1:1">
      <c r="A181" s="70">
        <f>IF(ISNUMBER(SEARCH(My_Sheet!$B$8,B181)),MAX($A$1:A180)+1,0)</f>
        <v>0</v>
      </c>
    </row>
    <row r="182" spans="1:1">
      <c r="A182" s="70">
        <f>IF(ISNUMBER(SEARCH(My_Sheet!$B$8,B182)),MAX($A$1:A181)+1,0)</f>
        <v>0</v>
      </c>
    </row>
    <row r="183" spans="1:1">
      <c r="A183" s="70">
        <f>IF(ISNUMBER(SEARCH(My_Sheet!$B$8,B183)),MAX($A$1:A182)+1,0)</f>
        <v>0</v>
      </c>
    </row>
    <row r="184" spans="1:1">
      <c r="A184" s="70">
        <f>IF(ISNUMBER(SEARCH(My_Sheet!$B$8,B184)),MAX($A$1:A183)+1,0)</f>
        <v>0</v>
      </c>
    </row>
    <row r="185" spans="1:1">
      <c r="A185" s="70">
        <f>IF(ISNUMBER(SEARCH(My_Sheet!$B$8,B185)),MAX($A$1:A184)+1,0)</f>
        <v>0</v>
      </c>
    </row>
    <row r="186" spans="1:1">
      <c r="A186" s="70">
        <f>IF(ISNUMBER(SEARCH(My_Sheet!$B$8,B186)),MAX($A$1:A185)+1,0)</f>
        <v>0</v>
      </c>
    </row>
    <row r="187" spans="1:1">
      <c r="A187" s="70">
        <f>IF(ISNUMBER(SEARCH(My_Sheet!$B$8,B187)),MAX($A$1:A186)+1,0)</f>
        <v>0</v>
      </c>
    </row>
    <row r="188" spans="1:1">
      <c r="A188" s="70">
        <f>IF(ISNUMBER(SEARCH(My_Sheet!$B$8,B188)),MAX($A$1:A187)+1,0)</f>
        <v>0</v>
      </c>
    </row>
    <row r="189" spans="1:1">
      <c r="A189" s="70">
        <f>IF(ISNUMBER(SEARCH(My_Sheet!$B$8,B189)),MAX($A$1:A188)+1,0)</f>
        <v>0</v>
      </c>
    </row>
    <row r="190" spans="1:1">
      <c r="A190" s="70">
        <f>IF(ISNUMBER(SEARCH(My_Sheet!$B$8,B190)),MAX($A$1:A189)+1,0)</f>
        <v>0</v>
      </c>
    </row>
    <row r="191" spans="1:1">
      <c r="A191" s="70">
        <f>IF(ISNUMBER(SEARCH(My_Sheet!$B$8,B191)),MAX($A$1:A190)+1,0)</f>
        <v>0</v>
      </c>
    </row>
    <row r="192" spans="1:1">
      <c r="A192" s="70">
        <f>IF(ISNUMBER(SEARCH(My_Sheet!$B$8,B192)),MAX($A$1:A191)+1,0)</f>
        <v>0</v>
      </c>
    </row>
    <row r="193" spans="1:1">
      <c r="A193" s="70">
        <f>IF(ISNUMBER(SEARCH(My_Sheet!$B$8,B193)),MAX($A$1:A192)+1,0)</f>
        <v>0</v>
      </c>
    </row>
    <row r="194" spans="1:1">
      <c r="A194" s="70">
        <f>IF(ISNUMBER(SEARCH(My_Sheet!$B$8,B194)),MAX($A$1:A193)+1,0)</f>
        <v>0</v>
      </c>
    </row>
    <row r="195" spans="1:1">
      <c r="A195" s="70">
        <f>IF(ISNUMBER(SEARCH(My_Sheet!$B$8,B195)),MAX($A$1:A194)+1,0)</f>
        <v>0</v>
      </c>
    </row>
    <row r="196" spans="1:1">
      <c r="A196" s="70">
        <f>IF(ISNUMBER(SEARCH(My_Sheet!$B$8,B196)),MAX($A$1:A195)+1,0)</f>
        <v>0</v>
      </c>
    </row>
    <row r="197" spans="1:1">
      <c r="A197" s="70">
        <f>IF(ISNUMBER(SEARCH(My_Sheet!$B$8,B197)),MAX($A$1:A196)+1,0)</f>
        <v>0</v>
      </c>
    </row>
    <row r="198" spans="1:1">
      <c r="A198" s="70">
        <f>IF(ISNUMBER(SEARCH(My_Sheet!$B$8,B198)),MAX($A$1:A197)+1,0)</f>
        <v>0</v>
      </c>
    </row>
    <row r="199" spans="1:1">
      <c r="A199" s="70">
        <f>IF(ISNUMBER(SEARCH(My_Sheet!$B$8,B199)),MAX($A$1:A198)+1,0)</f>
        <v>0</v>
      </c>
    </row>
    <row r="200" spans="1:1">
      <c r="A200" s="70">
        <f>IF(ISNUMBER(SEARCH(My_Sheet!$B$8,B200)),MAX($A$1:A199)+1,0)</f>
        <v>0</v>
      </c>
    </row>
    <row r="201" spans="1:1">
      <c r="A201" s="70">
        <f>IF(ISNUMBER(SEARCH(My_Sheet!$B$8,B201)),MAX($A$1:A200)+1,0)</f>
        <v>0</v>
      </c>
    </row>
    <row r="202" spans="1:1">
      <c r="A202" s="70">
        <f>IF(ISNUMBER(SEARCH(My_Sheet!$B$8,B202)),MAX($A$1:A201)+1,0)</f>
        <v>0</v>
      </c>
    </row>
    <row r="203" spans="1:1">
      <c r="A203" s="70">
        <f>IF(ISNUMBER(SEARCH(My_Sheet!$B$8,B203)),MAX($A$1:A202)+1,0)</f>
        <v>0</v>
      </c>
    </row>
    <row r="204" spans="1:1">
      <c r="A204" s="70">
        <f>IF(ISNUMBER(SEARCH(My_Sheet!$B$8,B204)),MAX($A$1:A203)+1,0)</f>
        <v>0</v>
      </c>
    </row>
    <row r="205" spans="1:1">
      <c r="A205" s="70">
        <f>IF(ISNUMBER(SEARCH(My_Sheet!$B$8,B205)),MAX($A$1:A204)+1,0)</f>
        <v>0</v>
      </c>
    </row>
    <row r="206" spans="1:1">
      <c r="A206" s="70">
        <f>IF(ISNUMBER(SEARCH(My_Sheet!$B$8,B206)),MAX($A$1:A205)+1,0)</f>
        <v>0</v>
      </c>
    </row>
    <row r="207" spans="1:1">
      <c r="A207" s="70">
        <f>IF(ISNUMBER(SEARCH(My_Sheet!$B$8,B207)),MAX($A$1:A206)+1,0)</f>
        <v>0</v>
      </c>
    </row>
    <row r="208" spans="1:1">
      <c r="A208" s="70">
        <f>IF(ISNUMBER(SEARCH(My_Sheet!$B$8,B208)),MAX($A$1:A207)+1,0)</f>
        <v>0</v>
      </c>
    </row>
    <row r="209" spans="1:1">
      <c r="A209" s="70">
        <f>IF(ISNUMBER(SEARCH(My_Sheet!$B$8,B209)),MAX($A$1:A208)+1,0)</f>
        <v>0</v>
      </c>
    </row>
    <row r="210" spans="1:1">
      <c r="A210" s="70">
        <f>IF(ISNUMBER(SEARCH(My_Sheet!$B$8,B210)),MAX($A$1:A209)+1,0)</f>
        <v>0</v>
      </c>
    </row>
    <row r="211" spans="1:1">
      <c r="A211" s="70">
        <f>IF(ISNUMBER(SEARCH(My_Sheet!$B$8,B211)),MAX($A$1:A210)+1,0)</f>
        <v>0</v>
      </c>
    </row>
    <row r="212" spans="1:1">
      <c r="A212" s="70">
        <f>IF(ISNUMBER(SEARCH(My_Sheet!$B$8,B212)),MAX($A$1:A211)+1,0)</f>
        <v>0</v>
      </c>
    </row>
    <row r="213" spans="1:1">
      <c r="A213" s="70">
        <f>IF(ISNUMBER(SEARCH(My_Sheet!$B$8,B213)),MAX($A$1:A212)+1,0)</f>
        <v>0</v>
      </c>
    </row>
    <row r="214" spans="1:1">
      <c r="A214" s="70">
        <f>IF(ISNUMBER(SEARCH(My_Sheet!$B$8,B214)),MAX($A$1:A213)+1,0)</f>
        <v>0</v>
      </c>
    </row>
    <row r="215" spans="1:1">
      <c r="A215" s="70">
        <f>IF(ISNUMBER(SEARCH(My_Sheet!$B$8,B215)),MAX($A$1:A214)+1,0)</f>
        <v>0</v>
      </c>
    </row>
    <row r="216" spans="1:1">
      <c r="A216" s="70">
        <f>IF(ISNUMBER(SEARCH(My_Sheet!$B$8,B216)),MAX($A$1:A215)+1,0)</f>
        <v>0</v>
      </c>
    </row>
    <row r="217" spans="1:1">
      <c r="A217" s="70">
        <f>IF(ISNUMBER(SEARCH(My_Sheet!$B$8,B217)),MAX($A$1:A216)+1,0)</f>
        <v>0</v>
      </c>
    </row>
    <row r="218" spans="1:1">
      <c r="A218" s="70">
        <f>IF(ISNUMBER(SEARCH(My_Sheet!$B$8,B218)),MAX($A$1:A217)+1,0)</f>
        <v>0</v>
      </c>
    </row>
    <row r="219" spans="1:1">
      <c r="A219" s="70">
        <f>IF(ISNUMBER(SEARCH(My_Sheet!$B$8,B219)),MAX($A$1:A218)+1,0)</f>
        <v>0</v>
      </c>
    </row>
    <row r="220" spans="1:1">
      <c r="A220" s="70">
        <f>IF(ISNUMBER(SEARCH(My_Sheet!$B$8,B220)),MAX($A$1:A219)+1,0)</f>
        <v>0</v>
      </c>
    </row>
    <row r="221" spans="1:1">
      <c r="A221" s="70">
        <f>IF(ISNUMBER(SEARCH(My_Sheet!$B$8,B221)),MAX($A$1:A220)+1,0)</f>
        <v>0</v>
      </c>
    </row>
    <row r="222" spans="1:1">
      <c r="A222" s="70">
        <f>IF(ISNUMBER(SEARCH(My_Sheet!$B$8,B222)),MAX($A$1:A221)+1,0)</f>
        <v>0</v>
      </c>
    </row>
    <row r="223" spans="1:1">
      <c r="A223" s="70">
        <f>IF(ISNUMBER(SEARCH(My_Sheet!$B$8,B223)),MAX($A$1:A222)+1,0)</f>
        <v>0</v>
      </c>
    </row>
    <row r="224" spans="1:1">
      <c r="A224" s="70">
        <f>IF(ISNUMBER(SEARCH(My_Sheet!$B$8,B224)),MAX($A$1:A223)+1,0)</f>
        <v>0</v>
      </c>
    </row>
    <row r="225" spans="1:1">
      <c r="A225" s="70">
        <f>IF(ISNUMBER(SEARCH(My_Sheet!$B$8,B225)),MAX($A$1:A224)+1,0)</f>
        <v>0</v>
      </c>
    </row>
    <row r="226" spans="1:1">
      <c r="A226" s="70">
        <f>IF(ISNUMBER(SEARCH(My_Sheet!$B$8,B226)),MAX($A$1:A225)+1,0)</f>
        <v>0</v>
      </c>
    </row>
    <row r="227" spans="1:1">
      <c r="A227" s="70">
        <f>IF(ISNUMBER(SEARCH(My_Sheet!$B$8,B227)),MAX($A$1:A226)+1,0)</f>
        <v>0</v>
      </c>
    </row>
    <row r="228" spans="1:1">
      <c r="A228" s="70">
        <f>IF(ISNUMBER(SEARCH(My_Sheet!$B$8,B228)),MAX($A$1:A227)+1,0)</f>
        <v>0</v>
      </c>
    </row>
    <row r="229" spans="1:1">
      <c r="A229" s="70">
        <f>IF(ISNUMBER(SEARCH(My_Sheet!$B$8,B229)),MAX($A$1:A228)+1,0)</f>
        <v>0</v>
      </c>
    </row>
    <row r="230" spans="1:1">
      <c r="A230" s="70">
        <f>IF(ISNUMBER(SEARCH(My_Sheet!$B$8,B230)),MAX($A$1:A229)+1,0)</f>
        <v>0</v>
      </c>
    </row>
    <row r="231" spans="1:1">
      <c r="A231" s="70">
        <f>IF(ISNUMBER(SEARCH(My_Sheet!$B$8,B231)),MAX($A$1:A230)+1,0)</f>
        <v>0</v>
      </c>
    </row>
    <row r="232" spans="1:1">
      <c r="A232" s="70">
        <f>IF(ISNUMBER(SEARCH(My_Sheet!$B$8,B232)),MAX($A$1:A231)+1,0)</f>
        <v>0</v>
      </c>
    </row>
    <row r="233" spans="1:1">
      <c r="A233" s="70">
        <f>IF(ISNUMBER(SEARCH(My_Sheet!$B$8,B233)),MAX($A$1:A232)+1,0)</f>
        <v>0</v>
      </c>
    </row>
    <row r="234" spans="1:1">
      <c r="A234" s="70">
        <f>IF(ISNUMBER(SEARCH(My_Sheet!$B$8,B234)),MAX($A$1:A233)+1,0)</f>
        <v>0</v>
      </c>
    </row>
    <row r="235" spans="1:1">
      <c r="A235" s="70">
        <f>IF(ISNUMBER(SEARCH(My_Sheet!$B$8,B235)),MAX($A$1:A234)+1,0)</f>
        <v>0</v>
      </c>
    </row>
    <row r="236" spans="1:1">
      <c r="A236" s="70">
        <f>IF(ISNUMBER(SEARCH(My_Sheet!$B$8,B236)),MAX($A$1:A235)+1,0)</f>
        <v>0</v>
      </c>
    </row>
    <row r="237" spans="1:1">
      <c r="A237" s="70">
        <f>IF(ISNUMBER(SEARCH(My_Sheet!$B$8,B237)),MAX($A$1:A236)+1,0)</f>
        <v>0</v>
      </c>
    </row>
    <row r="238" spans="1:1">
      <c r="A238" s="70">
        <f>IF(ISNUMBER(SEARCH(My_Sheet!$B$8,B238)),MAX($A$1:A237)+1,0)</f>
        <v>0</v>
      </c>
    </row>
    <row r="239" spans="1:1">
      <c r="A239" s="70">
        <f>IF(ISNUMBER(SEARCH(My_Sheet!$B$8,B239)),MAX($A$1:A238)+1,0)</f>
        <v>0</v>
      </c>
    </row>
    <row r="240" spans="1:1">
      <c r="A240" s="70">
        <f>IF(ISNUMBER(SEARCH(My_Sheet!$B$8,B240)),MAX($A$1:A239)+1,0)</f>
        <v>0</v>
      </c>
    </row>
    <row r="241" spans="1:1">
      <c r="A241" s="70">
        <f>IF(ISNUMBER(SEARCH(My_Sheet!$B$8,B241)),MAX($A$1:A240)+1,0)</f>
        <v>0</v>
      </c>
    </row>
    <row r="242" spans="1:1">
      <c r="A242" s="70">
        <f>IF(ISNUMBER(SEARCH(My_Sheet!$B$8,B242)),MAX($A$1:A241)+1,0)</f>
        <v>0</v>
      </c>
    </row>
    <row r="243" spans="1:1">
      <c r="A243" s="70">
        <f>IF(ISNUMBER(SEARCH(My_Sheet!$B$8,B243)),MAX($A$1:A242)+1,0)</f>
        <v>0</v>
      </c>
    </row>
    <row r="244" spans="1:1">
      <c r="A244" s="70">
        <f>IF(ISNUMBER(SEARCH(My_Sheet!$B$8,B244)),MAX($A$1:A243)+1,0)</f>
        <v>0</v>
      </c>
    </row>
    <row r="245" spans="1:1">
      <c r="A245" s="70">
        <f>IF(ISNUMBER(SEARCH(My_Sheet!$B$8,B245)),MAX($A$1:A244)+1,0)</f>
        <v>0</v>
      </c>
    </row>
    <row r="246" spans="1:1">
      <c r="A246" s="70">
        <f>IF(ISNUMBER(SEARCH(My_Sheet!$B$8,B246)),MAX($A$1:A245)+1,0)</f>
        <v>0</v>
      </c>
    </row>
    <row r="247" spans="1:1">
      <c r="A247" s="70">
        <f>IF(ISNUMBER(SEARCH(My_Sheet!$B$8,B247)),MAX($A$1:A246)+1,0)</f>
        <v>0</v>
      </c>
    </row>
    <row r="248" spans="1:1">
      <c r="A248" s="70">
        <f>IF(ISNUMBER(SEARCH(My_Sheet!$B$8,B248)),MAX($A$1:A247)+1,0)</f>
        <v>0</v>
      </c>
    </row>
    <row r="249" spans="1:1">
      <c r="A249" s="70">
        <f>IF(ISNUMBER(SEARCH(My_Sheet!$B$8,B249)),MAX($A$1:A248)+1,0)</f>
        <v>0</v>
      </c>
    </row>
    <row r="250" spans="1:1">
      <c r="A250" s="70">
        <f>IF(ISNUMBER(SEARCH(My_Sheet!$B$8,B250)),MAX($A$1:A249)+1,0)</f>
        <v>0</v>
      </c>
    </row>
    <row r="251" spans="1:1">
      <c r="A251" s="70">
        <f>IF(ISNUMBER(SEARCH(My_Sheet!$B$8,B251)),MAX($A$1:A250)+1,0)</f>
        <v>0</v>
      </c>
    </row>
    <row r="252" spans="1:1">
      <c r="A252" s="70">
        <f>IF(ISNUMBER(SEARCH(My_Sheet!$B$8,B252)),MAX($A$1:A251)+1,0)</f>
        <v>0</v>
      </c>
    </row>
    <row r="253" spans="1:1">
      <c r="A253" s="70">
        <f>IF(ISNUMBER(SEARCH(My_Sheet!$B$8,B253)),MAX($A$1:A252)+1,0)</f>
        <v>0</v>
      </c>
    </row>
    <row r="254" spans="1:1">
      <c r="A254" s="70">
        <f>IF(ISNUMBER(SEARCH(My_Sheet!$B$8,B254)),MAX($A$1:A253)+1,0)</f>
        <v>0</v>
      </c>
    </row>
    <row r="255" spans="1:1">
      <c r="A255" s="70">
        <f>IF(ISNUMBER(SEARCH(My_Sheet!$B$8,B255)),MAX($A$1:A254)+1,0)</f>
        <v>0</v>
      </c>
    </row>
    <row r="256" spans="1:1">
      <c r="A256" s="70">
        <f>IF(ISNUMBER(SEARCH(My_Sheet!$B$8,B256)),MAX($A$1:A255)+1,0)</f>
        <v>0</v>
      </c>
    </row>
    <row r="257" spans="1:1">
      <c r="A257" s="70">
        <f>IF(ISNUMBER(SEARCH(My_Sheet!$B$8,B257)),MAX($A$1:A256)+1,0)</f>
        <v>0</v>
      </c>
    </row>
    <row r="258" spans="1:1">
      <c r="A258" s="70">
        <f>IF(ISNUMBER(SEARCH(My_Sheet!$B$8,B258)),MAX($A$1:A257)+1,0)</f>
        <v>0</v>
      </c>
    </row>
    <row r="259" spans="1:1">
      <c r="A259" s="70">
        <f>IF(ISNUMBER(SEARCH(My_Sheet!$B$8,B259)),MAX($A$1:A258)+1,0)</f>
        <v>0</v>
      </c>
    </row>
    <row r="260" spans="1:1">
      <c r="A260" s="70">
        <f>IF(ISNUMBER(SEARCH(My_Sheet!$B$8,B260)),MAX($A$1:A259)+1,0)</f>
        <v>0</v>
      </c>
    </row>
    <row r="261" spans="1:1">
      <c r="A261" s="70">
        <f>IF(ISNUMBER(SEARCH(My_Sheet!$B$8,B261)),MAX($A$1:A260)+1,0)</f>
        <v>0</v>
      </c>
    </row>
    <row r="262" spans="1:1">
      <c r="A262" s="70">
        <f>IF(ISNUMBER(SEARCH(My_Sheet!$B$8,B262)),MAX($A$1:A261)+1,0)</f>
        <v>0</v>
      </c>
    </row>
    <row r="263" spans="1:1">
      <c r="A263" s="70">
        <f>IF(ISNUMBER(SEARCH(My_Sheet!$B$8,B263)),MAX($A$1:A262)+1,0)</f>
        <v>0</v>
      </c>
    </row>
    <row r="264" spans="1:1">
      <c r="A264" s="70">
        <f>IF(ISNUMBER(SEARCH(My_Sheet!$B$8,B264)),MAX($A$1:A263)+1,0)</f>
        <v>0</v>
      </c>
    </row>
    <row r="265" spans="1:1">
      <c r="A265" s="70">
        <f>IF(ISNUMBER(SEARCH(My_Sheet!$B$8,B265)),MAX($A$1:A264)+1,0)</f>
        <v>0</v>
      </c>
    </row>
    <row r="266" spans="1:1">
      <c r="A266" s="70">
        <f>IF(ISNUMBER(SEARCH(My_Sheet!$B$8,B266)),MAX($A$1:A265)+1,0)</f>
        <v>0</v>
      </c>
    </row>
    <row r="267" spans="1:1">
      <c r="A267" s="70">
        <f>IF(ISNUMBER(SEARCH(My_Sheet!$B$8,B267)),MAX($A$1:A266)+1,0)</f>
        <v>0</v>
      </c>
    </row>
    <row r="268" spans="1:1">
      <c r="A268" s="70">
        <f>IF(ISNUMBER(SEARCH(My_Sheet!$B$8,B268)),MAX($A$1:A267)+1,0)</f>
        <v>0</v>
      </c>
    </row>
    <row r="269" spans="1:1">
      <c r="A269" s="70">
        <f>IF(ISNUMBER(SEARCH(My_Sheet!$B$8,B269)),MAX($A$1:A268)+1,0)</f>
        <v>0</v>
      </c>
    </row>
    <row r="270" spans="1:1">
      <c r="A270" s="70">
        <f>IF(ISNUMBER(SEARCH(My_Sheet!$B$8,B270)),MAX($A$1:A269)+1,0)</f>
        <v>0</v>
      </c>
    </row>
    <row r="271" spans="1:1">
      <c r="A271" s="70">
        <f>IF(ISNUMBER(SEARCH(My_Sheet!$B$8,B271)),MAX($A$1:A270)+1,0)</f>
        <v>0</v>
      </c>
    </row>
    <row r="272" spans="1:1">
      <c r="A272" s="70">
        <f>IF(ISNUMBER(SEARCH(My_Sheet!$B$8,B272)),MAX($A$1:A271)+1,0)</f>
        <v>0</v>
      </c>
    </row>
    <row r="273" spans="1:1">
      <c r="A273" s="70">
        <f>IF(ISNUMBER(SEARCH(My_Sheet!$B$8,B273)),MAX($A$1:A272)+1,0)</f>
        <v>0</v>
      </c>
    </row>
    <row r="274" spans="1:1">
      <c r="A274" s="70">
        <f>IF(ISNUMBER(SEARCH(My_Sheet!$B$8,B274)),MAX($A$1:A273)+1,0)</f>
        <v>0</v>
      </c>
    </row>
    <row r="275" spans="1:1">
      <c r="A275" s="70">
        <f>IF(ISNUMBER(SEARCH(My_Sheet!$B$8,B275)),MAX($A$1:A274)+1,0)</f>
        <v>0</v>
      </c>
    </row>
    <row r="276" spans="1:1">
      <c r="A276" s="70">
        <f>IF(ISNUMBER(SEARCH(My_Sheet!$B$8,B276)),MAX($A$1:A275)+1,0)</f>
        <v>0</v>
      </c>
    </row>
    <row r="277" spans="1:1">
      <c r="A277" s="70">
        <f>IF(ISNUMBER(SEARCH(My_Sheet!$B$8,B277)),MAX($A$1:A276)+1,0)</f>
        <v>0</v>
      </c>
    </row>
    <row r="278" spans="1:1">
      <c r="A278" s="70">
        <f>IF(ISNUMBER(SEARCH(My_Sheet!$B$8,B278)),MAX($A$1:A277)+1,0)</f>
        <v>0</v>
      </c>
    </row>
    <row r="279" spans="1:1">
      <c r="A279" s="70">
        <f>IF(ISNUMBER(SEARCH(My_Sheet!$B$8,B279)),MAX($A$1:A278)+1,0)</f>
        <v>0</v>
      </c>
    </row>
    <row r="280" spans="1:1">
      <c r="A280" s="70">
        <f>IF(ISNUMBER(SEARCH(My_Sheet!$B$8,B280)),MAX($A$1:A279)+1,0)</f>
        <v>0</v>
      </c>
    </row>
    <row r="281" spans="1:1">
      <c r="A281" s="70">
        <f>IF(ISNUMBER(SEARCH(My_Sheet!$B$8,B281)),MAX($A$1:A280)+1,0)</f>
        <v>0</v>
      </c>
    </row>
    <row r="282" spans="1:1">
      <c r="A282" s="70">
        <f>IF(ISNUMBER(SEARCH(My_Sheet!$B$8,B282)),MAX($A$1:A281)+1,0)</f>
        <v>0</v>
      </c>
    </row>
    <row r="283" spans="1:1">
      <c r="A283" s="70">
        <f>IF(ISNUMBER(SEARCH(My_Sheet!$B$8,B283)),MAX($A$1:A282)+1,0)</f>
        <v>0</v>
      </c>
    </row>
    <row r="284" spans="1:1">
      <c r="A284" s="70">
        <f>IF(ISNUMBER(SEARCH(My_Sheet!$B$8,B284)),MAX($A$1:A283)+1,0)</f>
        <v>0</v>
      </c>
    </row>
    <row r="285" spans="1:1">
      <c r="A285" s="70">
        <f>IF(ISNUMBER(SEARCH(My_Sheet!$B$8,B285)),MAX($A$1:A284)+1,0)</f>
        <v>0</v>
      </c>
    </row>
    <row r="286" spans="1:1">
      <c r="A286" s="70">
        <f>IF(ISNUMBER(SEARCH(My_Sheet!$B$8,B286)),MAX($A$1:A285)+1,0)</f>
        <v>0</v>
      </c>
    </row>
    <row r="287" spans="1:1">
      <c r="A287" s="70">
        <f>IF(ISNUMBER(SEARCH(My_Sheet!$B$8,B287)),MAX($A$1:A286)+1,0)</f>
        <v>0</v>
      </c>
    </row>
    <row r="288" spans="1:1">
      <c r="A288" s="70">
        <f>IF(ISNUMBER(SEARCH(My_Sheet!$B$8,B288)),MAX($A$1:A287)+1,0)</f>
        <v>0</v>
      </c>
    </row>
    <row r="289" spans="1:1">
      <c r="A289" s="70">
        <f>IF(ISNUMBER(SEARCH(My_Sheet!$B$8,B289)),MAX($A$1:A288)+1,0)</f>
        <v>0</v>
      </c>
    </row>
    <row r="290" spans="1:1">
      <c r="A290" s="70">
        <f>IF(ISNUMBER(SEARCH(My_Sheet!$B$8,B290)),MAX($A$1:A289)+1,0)</f>
        <v>0</v>
      </c>
    </row>
    <row r="291" spans="1:1">
      <c r="A291" s="70">
        <f>IF(ISNUMBER(SEARCH(My_Sheet!$B$8,B291)),MAX($A$1:A290)+1,0)</f>
        <v>0</v>
      </c>
    </row>
    <row r="292" spans="1:1">
      <c r="A292" s="70">
        <f>IF(ISNUMBER(SEARCH(My_Sheet!$B$8,B292)),MAX($A$1:A291)+1,0)</f>
        <v>0</v>
      </c>
    </row>
    <row r="293" spans="1:1">
      <c r="A293" s="70">
        <f>IF(ISNUMBER(SEARCH(My_Sheet!$B$8,B293)),MAX($A$1:A292)+1,0)</f>
        <v>0</v>
      </c>
    </row>
    <row r="294" spans="1:1">
      <c r="A294" s="70">
        <f>IF(ISNUMBER(SEARCH(My_Sheet!$B$8,B294)),MAX($A$1:A293)+1,0)</f>
        <v>0</v>
      </c>
    </row>
    <row r="295" spans="1:1">
      <c r="A295" s="70">
        <f>IF(ISNUMBER(SEARCH(My_Sheet!$B$8,B295)),MAX($A$1:A294)+1,0)</f>
        <v>0</v>
      </c>
    </row>
    <row r="296" spans="1:1">
      <c r="A296" s="70">
        <f>IF(ISNUMBER(SEARCH(My_Sheet!$B$8,B296)),MAX($A$1:A295)+1,0)</f>
        <v>0</v>
      </c>
    </row>
    <row r="297" spans="1:1">
      <c r="A297" s="70">
        <f>IF(ISNUMBER(SEARCH(My_Sheet!$B$8,B297)),MAX($A$1:A296)+1,0)</f>
        <v>0</v>
      </c>
    </row>
    <row r="298" spans="1:1">
      <c r="A298" s="70">
        <f>IF(ISNUMBER(SEARCH(My_Sheet!$B$8,B298)),MAX($A$1:A297)+1,0)</f>
        <v>0</v>
      </c>
    </row>
    <row r="299" spans="1:1">
      <c r="A299" s="70">
        <f>IF(ISNUMBER(SEARCH(My_Sheet!$B$8,B299)),MAX($A$1:A298)+1,0)</f>
        <v>0</v>
      </c>
    </row>
    <row r="300" spans="1:1">
      <c r="A300" s="70">
        <f>IF(ISNUMBER(SEARCH(My_Sheet!$B$8,B300)),MAX($A$1:A299)+1,0)</f>
        <v>0</v>
      </c>
    </row>
    <row r="301" spans="1:1">
      <c r="A301" s="70">
        <f>IF(ISNUMBER(SEARCH(My_Sheet!$B$8,B301)),MAX($A$1:A300)+1,0)</f>
        <v>0</v>
      </c>
    </row>
    <row r="302" spans="1:1">
      <c r="A302" s="70">
        <f>IF(ISNUMBER(SEARCH(My_Sheet!$B$8,B302)),MAX($A$1:A301)+1,0)</f>
        <v>0</v>
      </c>
    </row>
    <row r="303" spans="1:1">
      <c r="A303" s="70">
        <f>IF(ISNUMBER(SEARCH(My_Sheet!$B$8,B303)),MAX($A$1:A302)+1,0)</f>
        <v>0</v>
      </c>
    </row>
    <row r="304" spans="1:1">
      <c r="A304" s="70">
        <f>IF(ISNUMBER(SEARCH(My_Sheet!$B$8,B304)),MAX($A$1:A303)+1,0)</f>
        <v>0</v>
      </c>
    </row>
    <row r="305" spans="1:1">
      <c r="A305" s="70">
        <f>IF(ISNUMBER(SEARCH(My_Sheet!$B$8,B305)),MAX($A$1:A304)+1,0)</f>
        <v>0</v>
      </c>
    </row>
    <row r="306" spans="1:1">
      <c r="A306" s="70">
        <f>IF(ISNUMBER(SEARCH(My_Sheet!$B$8,B306)),MAX($A$1:A305)+1,0)</f>
        <v>0</v>
      </c>
    </row>
    <row r="307" spans="1:1">
      <c r="A307" s="70">
        <f>IF(ISNUMBER(SEARCH(My_Sheet!$B$8,B307)),MAX($A$1:A306)+1,0)</f>
        <v>0</v>
      </c>
    </row>
    <row r="308" spans="1:1">
      <c r="A308" s="70">
        <f>IF(ISNUMBER(SEARCH(My_Sheet!$B$8,B308)),MAX($A$1:A307)+1,0)</f>
        <v>0</v>
      </c>
    </row>
    <row r="309" spans="1:1">
      <c r="A309" s="70">
        <f>IF(ISNUMBER(SEARCH(My_Sheet!$B$8,B309)),MAX($A$1:A308)+1,0)</f>
        <v>0</v>
      </c>
    </row>
    <row r="310" spans="1:1">
      <c r="A310" s="70">
        <f>IF(ISNUMBER(SEARCH(My_Sheet!$B$8,B310)),MAX($A$1:A309)+1,0)</f>
        <v>0</v>
      </c>
    </row>
    <row r="311" spans="1:1">
      <c r="A311" s="70">
        <f>IF(ISNUMBER(SEARCH(My_Sheet!$B$8,B311)),MAX($A$1:A310)+1,0)</f>
        <v>0</v>
      </c>
    </row>
    <row r="312" spans="1:1">
      <c r="A312" s="70">
        <f>IF(ISNUMBER(SEARCH(My_Sheet!$B$8,B312)),MAX($A$1:A311)+1,0)</f>
        <v>0</v>
      </c>
    </row>
    <row r="313" spans="1:1">
      <c r="A313" s="70">
        <f>IF(ISNUMBER(SEARCH(My_Sheet!$B$8,B313)),MAX($A$1:A312)+1,0)</f>
        <v>0</v>
      </c>
    </row>
    <row r="314" spans="1:1">
      <c r="A314" s="70">
        <f>IF(ISNUMBER(SEARCH(My_Sheet!$B$8,B314)),MAX($A$1:A313)+1,0)</f>
        <v>0</v>
      </c>
    </row>
    <row r="315" spans="1:1">
      <c r="A315" s="70">
        <f>IF(ISNUMBER(SEARCH(My_Sheet!$B$8,B315)),MAX($A$1:A314)+1,0)</f>
        <v>0</v>
      </c>
    </row>
    <row r="316" spans="1:1">
      <c r="A316" s="70">
        <f>IF(ISNUMBER(SEARCH(My_Sheet!$B$8,B316)),MAX($A$1:A315)+1,0)</f>
        <v>0</v>
      </c>
    </row>
    <row r="317" spans="1:1">
      <c r="A317" s="70">
        <f>IF(ISNUMBER(SEARCH(My_Sheet!$B$8,B317)),MAX($A$1:A316)+1,0)</f>
        <v>0</v>
      </c>
    </row>
    <row r="318" spans="1:1">
      <c r="A318" s="70">
        <f>IF(ISNUMBER(SEARCH(My_Sheet!$B$8,B318)),MAX($A$1:A317)+1,0)</f>
        <v>0</v>
      </c>
    </row>
    <row r="319" spans="1:1">
      <c r="A319" s="70">
        <f>IF(ISNUMBER(SEARCH(My_Sheet!$B$8,B319)),MAX($A$1:A318)+1,0)</f>
        <v>0</v>
      </c>
    </row>
    <row r="320" spans="1:1">
      <c r="A320" s="70">
        <f>IF(ISNUMBER(SEARCH(My_Sheet!$B$8,B320)),MAX($A$1:A319)+1,0)</f>
        <v>0</v>
      </c>
    </row>
    <row r="321" spans="1:1">
      <c r="A321" s="70">
        <f>IF(ISNUMBER(SEARCH(My_Sheet!$B$8,B321)),MAX($A$1:A320)+1,0)</f>
        <v>0</v>
      </c>
    </row>
    <row r="322" spans="1:1">
      <c r="A322" s="70">
        <f>IF(ISNUMBER(SEARCH(My_Sheet!$B$8,B322)),MAX($A$1:A321)+1,0)</f>
        <v>0</v>
      </c>
    </row>
    <row r="323" spans="1:1">
      <c r="A323" s="70">
        <f>IF(ISNUMBER(SEARCH(My_Sheet!$B$8,B323)),MAX($A$1:A322)+1,0)</f>
        <v>0</v>
      </c>
    </row>
    <row r="324" spans="1:1">
      <c r="A324" s="70">
        <f>IF(ISNUMBER(SEARCH(My_Sheet!$B$8,B324)),MAX($A$1:A323)+1,0)</f>
        <v>0</v>
      </c>
    </row>
    <row r="325" spans="1:1">
      <c r="A325" s="70">
        <f>IF(ISNUMBER(SEARCH(My_Sheet!$B$8,B325)),MAX($A$1:A324)+1,0)</f>
        <v>0</v>
      </c>
    </row>
    <row r="326" spans="1:1">
      <c r="A326" s="70">
        <f>IF(ISNUMBER(SEARCH(My_Sheet!$B$8,B326)),MAX($A$1:A325)+1,0)</f>
        <v>0</v>
      </c>
    </row>
    <row r="327" spans="1:1">
      <c r="A327" s="70">
        <f>IF(ISNUMBER(SEARCH(My_Sheet!$B$8,B327)),MAX($A$1:A326)+1,0)</f>
        <v>0</v>
      </c>
    </row>
    <row r="328" spans="1:1">
      <c r="A328" s="70">
        <f>IF(ISNUMBER(SEARCH(My_Sheet!$B$8,B328)),MAX($A$1:A327)+1,0)</f>
        <v>0</v>
      </c>
    </row>
    <row r="329" spans="1:1">
      <c r="A329" s="70">
        <f>IF(ISNUMBER(SEARCH(My_Sheet!$B$8,B329)),MAX($A$1:A328)+1,0)</f>
        <v>0</v>
      </c>
    </row>
    <row r="330" spans="1:1">
      <c r="A330" s="70">
        <f>IF(ISNUMBER(SEARCH(My_Sheet!$B$8,B330)),MAX($A$1:A329)+1,0)</f>
        <v>0</v>
      </c>
    </row>
    <row r="331" spans="1:1">
      <c r="A331" s="70">
        <f>IF(ISNUMBER(SEARCH(My_Sheet!$B$8,B331)),MAX($A$1:A330)+1,0)</f>
        <v>0</v>
      </c>
    </row>
    <row r="332" spans="1:1">
      <c r="A332" s="70">
        <f>IF(ISNUMBER(SEARCH(My_Sheet!$B$8,B332)),MAX($A$1:A331)+1,0)</f>
        <v>0</v>
      </c>
    </row>
    <row r="333" spans="1:1">
      <c r="A333" s="70">
        <f>IF(ISNUMBER(SEARCH(My_Sheet!$B$8,B333)),MAX($A$1:A332)+1,0)</f>
        <v>0</v>
      </c>
    </row>
    <row r="334" spans="1:1">
      <c r="A334" s="70">
        <f>IF(ISNUMBER(SEARCH(My_Sheet!$B$8,B334)),MAX($A$1:A333)+1,0)</f>
        <v>0</v>
      </c>
    </row>
    <row r="335" spans="1:1">
      <c r="A335" s="70">
        <f>IF(ISNUMBER(SEARCH(My_Sheet!$B$8,B335)),MAX($A$1:A334)+1,0)</f>
        <v>0</v>
      </c>
    </row>
    <row r="336" spans="1:1">
      <c r="A336" s="70">
        <f>IF(ISNUMBER(SEARCH(My_Sheet!$B$8,B336)),MAX($A$1:A335)+1,0)</f>
        <v>0</v>
      </c>
    </row>
    <row r="337" spans="1:1">
      <c r="A337" s="70">
        <f>IF(ISNUMBER(SEARCH(My_Sheet!$B$8,B337)),MAX($A$1:A336)+1,0)</f>
        <v>0</v>
      </c>
    </row>
    <row r="338" spans="1:1">
      <c r="A338" s="70">
        <f>IF(ISNUMBER(SEARCH(My_Sheet!$B$8,B338)),MAX($A$1:A337)+1,0)</f>
        <v>0</v>
      </c>
    </row>
    <row r="339" spans="1:1">
      <c r="A339" s="70">
        <f>IF(ISNUMBER(SEARCH(My_Sheet!$B$8,B339)),MAX($A$1:A338)+1,0)</f>
        <v>0</v>
      </c>
    </row>
    <row r="340" spans="1:1">
      <c r="A340" s="70">
        <f>IF(ISNUMBER(SEARCH(My_Sheet!$B$8,B340)),MAX($A$1:A339)+1,0)</f>
        <v>0</v>
      </c>
    </row>
    <row r="341" spans="1:1">
      <c r="A341" s="70">
        <f>IF(ISNUMBER(SEARCH(My_Sheet!$B$8,B341)),MAX($A$1:A340)+1,0)</f>
        <v>0</v>
      </c>
    </row>
    <row r="342" spans="1:1">
      <c r="A342" s="70">
        <f>IF(ISNUMBER(SEARCH(My_Sheet!$B$8,B342)),MAX($A$1:A341)+1,0)</f>
        <v>0</v>
      </c>
    </row>
    <row r="343" spans="1:1">
      <c r="A343" s="70">
        <f>IF(ISNUMBER(SEARCH(My_Sheet!$B$8,B343)),MAX($A$1:A342)+1,0)</f>
        <v>0</v>
      </c>
    </row>
    <row r="344" spans="1:1">
      <c r="A344" s="70">
        <f>IF(ISNUMBER(SEARCH(My_Sheet!$B$8,B344)),MAX($A$1:A343)+1,0)</f>
        <v>0</v>
      </c>
    </row>
    <row r="345" spans="1:1">
      <c r="A345" s="70">
        <f>IF(ISNUMBER(SEARCH(My_Sheet!$B$8,B345)),MAX($A$1:A344)+1,0)</f>
        <v>0</v>
      </c>
    </row>
    <row r="346" spans="1:1">
      <c r="A346" s="70">
        <f>IF(ISNUMBER(SEARCH(My_Sheet!$B$8,B346)),MAX($A$1:A345)+1,0)</f>
        <v>0</v>
      </c>
    </row>
    <row r="347" spans="1:1">
      <c r="A347" s="70">
        <f>IF(ISNUMBER(SEARCH(My_Sheet!$B$8,B347)),MAX($A$1:A346)+1,0)</f>
        <v>0</v>
      </c>
    </row>
    <row r="348" spans="1:1">
      <c r="A348" s="70">
        <f>IF(ISNUMBER(SEARCH(My_Sheet!$B$8,B348)),MAX($A$1:A347)+1,0)</f>
        <v>0</v>
      </c>
    </row>
    <row r="349" spans="1:1">
      <c r="A349" s="70">
        <f>IF(ISNUMBER(SEARCH(My_Sheet!$B$8,B349)),MAX($A$1:A348)+1,0)</f>
        <v>0</v>
      </c>
    </row>
    <row r="350" spans="1:1">
      <c r="A350" s="70">
        <f>IF(ISNUMBER(SEARCH(My_Sheet!$B$8,B350)),MAX($A$1:A349)+1,0)</f>
        <v>0</v>
      </c>
    </row>
    <row r="351" spans="1:1">
      <c r="A351" s="70">
        <f>IF(ISNUMBER(SEARCH(My_Sheet!$B$8,B351)),MAX($A$1:A350)+1,0)</f>
        <v>0</v>
      </c>
    </row>
    <row r="352" spans="1:1">
      <c r="A352" s="70">
        <f>IF(ISNUMBER(SEARCH(My_Sheet!$B$8,B352)),MAX($A$1:A351)+1,0)</f>
        <v>0</v>
      </c>
    </row>
    <row r="353" spans="1:1">
      <c r="A353" s="70">
        <f>IF(ISNUMBER(SEARCH(My_Sheet!$B$8,B353)),MAX($A$1:A352)+1,0)</f>
        <v>0</v>
      </c>
    </row>
    <row r="354" spans="1:1">
      <c r="A354" s="70">
        <f>IF(ISNUMBER(SEARCH(My_Sheet!$B$8,B354)),MAX($A$1:A353)+1,0)</f>
        <v>0</v>
      </c>
    </row>
    <row r="355" spans="1:1">
      <c r="A355" s="70">
        <f>IF(ISNUMBER(SEARCH(My_Sheet!$B$8,B355)),MAX($A$1:A354)+1,0)</f>
        <v>0</v>
      </c>
    </row>
    <row r="356" spans="1:1">
      <c r="A356" s="70">
        <f>IF(ISNUMBER(SEARCH(My_Sheet!$B$8,B356)),MAX($A$1:A355)+1,0)</f>
        <v>0</v>
      </c>
    </row>
    <row r="357" spans="1:1">
      <c r="A357" s="70">
        <f>IF(ISNUMBER(SEARCH(My_Sheet!$B$8,B357)),MAX($A$1:A356)+1,0)</f>
        <v>0</v>
      </c>
    </row>
    <row r="358" spans="1:1">
      <c r="A358" s="70">
        <f>IF(ISNUMBER(SEARCH(My_Sheet!$B$8,B358)),MAX($A$1:A357)+1,0)</f>
        <v>0</v>
      </c>
    </row>
    <row r="359" spans="1:1">
      <c r="A359" s="70">
        <f>IF(ISNUMBER(SEARCH(My_Sheet!$B$8,B359)),MAX($A$1:A358)+1,0)</f>
        <v>0</v>
      </c>
    </row>
    <row r="360" spans="1:1">
      <c r="A360" s="70">
        <f>IF(ISNUMBER(SEARCH(My_Sheet!$B$8,B360)),MAX($A$1:A359)+1,0)</f>
        <v>0</v>
      </c>
    </row>
    <row r="361" spans="1:1">
      <c r="A361" s="70">
        <f>IF(ISNUMBER(SEARCH(My_Sheet!$B$8,B361)),MAX($A$1:A360)+1,0)</f>
        <v>0</v>
      </c>
    </row>
    <row r="362" spans="1:1">
      <c r="A362" s="70">
        <f>IF(ISNUMBER(SEARCH(My_Sheet!$B$8,B362)),MAX($A$1:A361)+1,0)</f>
        <v>0</v>
      </c>
    </row>
    <row r="363" spans="1:1">
      <c r="A363" s="70">
        <f>IF(ISNUMBER(SEARCH(My_Sheet!$B$8,B363)),MAX($A$1:A362)+1,0)</f>
        <v>0</v>
      </c>
    </row>
    <row r="364" spans="1:1">
      <c r="A364" s="70">
        <f>IF(ISNUMBER(SEARCH(My_Sheet!$B$8,B364)),MAX($A$1:A363)+1,0)</f>
        <v>0</v>
      </c>
    </row>
    <row r="365" spans="1:1">
      <c r="A365" s="70">
        <f>IF(ISNUMBER(SEARCH(My_Sheet!$B$8,B365)),MAX($A$1:A364)+1,0)</f>
        <v>0</v>
      </c>
    </row>
    <row r="366" spans="1:1">
      <c r="A366" s="70">
        <f>IF(ISNUMBER(SEARCH(My_Sheet!$B$8,B366)),MAX($A$1:A365)+1,0)</f>
        <v>0</v>
      </c>
    </row>
    <row r="367" spans="1:1">
      <c r="A367" s="70">
        <f>IF(ISNUMBER(SEARCH(My_Sheet!$B$8,B367)),MAX($A$1:A366)+1,0)</f>
        <v>0</v>
      </c>
    </row>
    <row r="368" spans="1:1">
      <c r="A368" s="70">
        <f>IF(ISNUMBER(SEARCH(My_Sheet!$B$8,B368)),MAX($A$1:A367)+1,0)</f>
        <v>0</v>
      </c>
    </row>
    <row r="369" spans="1:1">
      <c r="A369" s="70">
        <f>IF(ISNUMBER(SEARCH(My_Sheet!$B$8,B369)),MAX($A$1:A368)+1,0)</f>
        <v>0</v>
      </c>
    </row>
    <row r="370" spans="1:1">
      <c r="A370" s="70">
        <f>IF(ISNUMBER(SEARCH(My_Sheet!$B$8,B370)),MAX($A$1:A369)+1,0)</f>
        <v>0</v>
      </c>
    </row>
    <row r="371" spans="1:1">
      <c r="A371" s="70">
        <f>IF(ISNUMBER(SEARCH(My_Sheet!$B$8,B371)),MAX($A$1:A370)+1,0)</f>
        <v>0</v>
      </c>
    </row>
    <row r="372" spans="1:1">
      <c r="A372" s="70">
        <f>IF(ISNUMBER(SEARCH(My_Sheet!$B$8,B372)),MAX($A$1:A371)+1,0)</f>
        <v>0</v>
      </c>
    </row>
    <row r="373" spans="1:1">
      <c r="A373" s="70">
        <f>IF(ISNUMBER(SEARCH(My_Sheet!$B$8,B373)),MAX($A$1:A372)+1,0)</f>
        <v>0</v>
      </c>
    </row>
    <row r="374" spans="1:1">
      <c r="A374" s="70">
        <f>IF(ISNUMBER(SEARCH(My_Sheet!$B$8,B374)),MAX($A$1:A373)+1,0)</f>
        <v>0</v>
      </c>
    </row>
    <row r="375" spans="1:1">
      <c r="A375" s="70">
        <f>IF(ISNUMBER(SEARCH(My_Sheet!$B$8,B375)),MAX($A$1:A374)+1,0)</f>
        <v>0</v>
      </c>
    </row>
    <row r="376" spans="1:1">
      <c r="A376" s="70">
        <f>IF(ISNUMBER(SEARCH(My_Sheet!$B$8,B376)),MAX($A$1:A375)+1,0)</f>
        <v>0</v>
      </c>
    </row>
    <row r="377" spans="1:1">
      <c r="A377" s="70">
        <f>IF(ISNUMBER(SEARCH(My_Sheet!$B$8,B377)),MAX($A$1:A376)+1,0)</f>
        <v>0</v>
      </c>
    </row>
    <row r="378" spans="1:1">
      <c r="A378" s="70">
        <f>IF(ISNUMBER(SEARCH(My_Sheet!$B$8,B378)),MAX($A$1:A377)+1,0)</f>
        <v>0</v>
      </c>
    </row>
    <row r="379" spans="1:1">
      <c r="A379" s="70">
        <f>IF(ISNUMBER(SEARCH(My_Sheet!$B$8,B379)),MAX($A$1:A378)+1,0)</f>
        <v>0</v>
      </c>
    </row>
    <row r="380" spans="1:1">
      <c r="A380" s="70">
        <f>IF(ISNUMBER(SEARCH(My_Sheet!$B$8,B380)),MAX($A$1:A379)+1,0)</f>
        <v>0</v>
      </c>
    </row>
    <row r="381" spans="1:1">
      <c r="A381" s="70">
        <f>IF(ISNUMBER(SEARCH(My_Sheet!$B$8,B381)),MAX($A$1:A380)+1,0)</f>
        <v>0</v>
      </c>
    </row>
    <row r="382" spans="1:1">
      <c r="A382" s="70">
        <f>IF(ISNUMBER(SEARCH(My_Sheet!$B$8,B382)),MAX($A$1:A381)+1,0)</f>
        <v>0</v>
      </c>
    </row>
    <row r="383" spans="1:1">
      <c r="A383" s="70">
        <f>IF(ISNUMBER(SEARCH(My_Sheet!$B$8,B383)),MAX($A$1:A382)+1,0)</f>
        <v>0</v>
      </c>
    </row>
    <row r="384" spans="1:1">
      <c r="A384" s="70">
        <f>IF(ISNUMBER(SEARCH(My_Sheet!$B$8,B384)),MAX($A$1:A383)+1,0)</f>
        <v>0</v>
      </c>
    </row>
    <row r="385" spans="1:1">
      <c r="A385" s="70">
        <f>IF(ISNUMBER(SEARCH(My_Sheet!$B$8,B385)),MAX($A$1:A384)+1,0)</f>
        <v>0</v>
      </c>
    </row>
    <row r="386" spans="1:1">
      <c r="A386" s="70">
        <f>IF(ISNUMBER(SEARCH(My_Sheet!$B$8,B386)),MAX($A$1:A385)+1,0)</f>
        <v>0</v>
      </c>
    </row>
    <row r="387" spans="1:1">
      <c r="A387" s="70">
        <f>IF(ISNUMBER(SEARCH(My_Sheet!$B$8,B387)),MAX($A$1:A386)+1,0)</f>
        <v>0</v>
      </c>
    </row>
    <row r="388" spans="1:1">
      <c r="A388" s="70">
        <f>IF(ISNUMBER(SEARCH(My_Sheet!$B$8,B388)),MAX($A$1:A387)+1,0)</f>
        <v>0</v>
      </c>
    </row>
    <row r="389" spans="1:1">
      <c r="A389" s="70">
        <f>IF(ISNUMBER(SEARCH(My_Sheet!$B$8,B389)),MAX($A$1:A388)+1,0)</f>
        <v>0</v>
      </c>
    </row>
    <row r="390" spans="1:1">
      <c r="A390" s="70">
        <f>IF(ISNUMBER(SEARCH(My_Sheet!$B$8,B390)),MAX($A$1:A389)+1,0)</f>
        <v>0</v>
      </c>
    </row>
    <row r="391" spans="1:1">
      <c r="A391" s="70">
        <f>IF(ISNUMBER(SEARCH(My_Sheet!$B$8,B391)),MAX($A$1:A390)+1,0)</f>
        <v>0</v>
      </c>
    </row>
    <row r="392" spans="1:1">
      <c r="A392" s="70">
        <f>IF(ISNUMBER(SEARCH(My_Sheet!$B$8,B392)),MAX($A$1:A391)+1,0)</f>
        <v>0</v>
      </c>
    </row>
    <row r="393" spans="1:1">
      <c r="A393" s="70">
        <f>IF(ISNUMBER(SEARCH(My_Sheet!$B$8,B393)),MAX($A$1:A392)+1,0)</f>
        <v>0</v>
      </c>
    </row>
    <row r="394" spans="1:1">
      <c r="A394" s="70">
        <f>IF(ISNUMBER(SEARCH(My_Sheet!$B$8,B394)),MAX($A$1:A393)+1,0)</f>
        <v>0</v>
      </c>
    </row>
    <row r="395" spans="1:1">
      <c r="A395" s="70">
        <f>IF(ISNUMBER(SEARCH(My_Sheet!$B$8,B395)),MAX($A$1:A394)+1,0)</f>
        <v>0</v>
      </c>
    </row>
    <row r="396" spans="1:1">
      <c r="A396" s="70">
        <f>IF(ISNUMBER(SEARCH(My_Sheet!$B$8,B396)),MAX($A$1:A395)+1,0)</f>
        <v>0</v>
      </c>
    </row>
    <row r="397" spans="1:1">
      <c r="A397" s="70">
        <f>IF(ISNUMBER(SEARCH(My_Sheet!$B$8,B397)),MAX($A$1:A396)+1,0)</f>
        <v>0</v>
      </c>
    </row>
    <row r="398" spans="1:1">
      <c r="A398" s="70">
        <f>IF(ISNUMBER(SEARCH(My_Sheet!$B$8,B398)),MAX($A$1:A397)+1,0)</f>
        <v>0</v>
      </c>
    </row>
    <row r="399" spans="1:1">
      <c r="A399" s="70">
        <f>IF(ISNUMBER(SEARCH(My_Sheet!$B$8,B399)),MAX($A$1:A398)+1,0)</f>
        <v>0</v>
      </c>
    </row>
    <row r="400" spans="1:1">
      <c r="A400" s="70">
        <f>IF(ISNUMBER(SEARCH(My_Sheet!$B$8,B400)),MAX($A$1:A399)+1,0)</f>
        <v>0</v>
      </c>
    </row>
    <row r="401" spans="1:1">
      <c r="A401" s="70">
        <f>IF(ISNUMBER(SEARCH(My_Sheet!$B$8,B401)),MAX($A$1:A400)+1,0)</f>
        <v>0</v>
      </c>
    </row>
    <row r="402" spans="1:1">
      <c r="A402" s="70">
        <f>IF(ISNUMBER(SEARCH(My_Sheet!$B$8,B402)),MAX($A$1:A401)+1,0)</f>
        <v>0</v>
      </c>
    </row>
    <row r="403" spans="1:1">
      <c r="A403" s="70">
        <f>IF(ISNUMBER(SEARCH(My_Sheet!$B$8,B403)),MAX($A$1:A402)+1,0)</f>
        <v>0</v>
      </c>
    </row>
    <row r="404" spans="1:1">
      <c r="A404" s="70">
        <f>IF(ISNUMBER(SEARCH(My_Sheet!$B$8,B404)),MAX($A$1:A403)+1,0)</f>
        <v>0</v>
      </c>
    </row>
    <row r="405" spans="1:1">
      <c r="A405" s="70">
        <f>IF(ISNUMBER(SEARCH(My_Sheet!$B$8,B405)),MAX($A$1:A404)+1,0)</f>
        <v>0</v>
      </c>
    </row>
    <row r="406" spans="1:1">
      <c r="A406" s="70">
        <f>IF(ISNUMBER(SEARCH(My_Sheet!$B$8,B406)),MAX($A$1:A405)+1,0)</f>
        <v>0</v>
      </c>
    </row>
    <row r="407" spans="1:1">
      <c r="A407" s="70">
        <f>IF(ISNUMBER(SEARCH(My_Sheet!$B$8,B407)),MAX($A$1:A406)+1,0)</f>
        <v>0</v>
      </c>
    </row>
    <row r="408" spans="1:1">
      <c r="A408" s="70">
        <f>IF(ISNUMBER(SEARCH(My_Sheet!$B$8,B408)),MAX($A$1:A407)+1,0)</f>
        <v>0</v>
      </c>
    </row>
    <row r="409" spans="1:1">
      <c r="A409" s="70">
        <f>IF(ISNUMBER(SEARCH(My_Sheet!$B$8,B409)),MAX($A$1:A408)+1,0)</f>
        <v>0</v>
      </c>
    </row>
    <row r="410" spans="1:1">
      <c r="A410" s="70">
        <f>IF(ISNUMBER(SEARCH(My_Sheet!$B$8,B410)),MAX($A$1:A409)+1,0)</f>
        <v>0</v>
      </c>
    </row>
    <row r="411" spans="1:1">
      <c r="A411" s="70">
        <f>IF(ISNUMBER(SEARCH(My_Sheet!$B$8,B411)),MAX($A$1:A410)+1,0)</f>
        <v>0</v>
      </c>
    </row>
    <row r="412" spans="1:1">
      <c r="A412" s="70">
        <f>IF(ISNUMBER(SEARCH(My_Sheet!$B$8,B412)),MAX($A$1:A411)+1,0)</f>
        <v>0</v>
      </c>
    </row>
    <row r="413" spans="1:1">
      <c r="A413" s="70">
        <f>IF(ISNUMBER(SEARCH(My_Sheet!$B$8,B413)),MAX($A$1:A412)+1,0)</f>
        <v>0</v>
      </c>
    </row>
    <row r="414" spans="1:1">
      <c r="A414" s="70">
        <f>IF(ISNUMBER(SEARCH(My_Sheet!$B$8,B414)),MAX($A$1:A413)+1,0)</f>
        <v>0</v>
      </c>
    </row>
    <row r="415" spans="1:1">
      <c r="A415" s="70">
        <f>IF(ISNUMBER(SEARCH(My_Sheet!$B$8,B415)),MAX($A$1:A414)+1,0)</f>
        <v>0</v>
      </c>
    </row>
    <row r="416" spans="1:1">
      <c r="A416" s="70">
        <f>IF(ISNUMBER(SEARCH(My_Sheet!$B$8,B416)),MAX($A$1:A415)+1,0)</f>
        <v>0</v>
      </c>
    </row>
    <row r="417" spans="1:1">
      <c r="A417" s="70">
        <f>IF(ISNUMBER(SEARCH(My_Sheet!$B$8,B417)),MAX($A$1:A416)+1,0)</f>
        <v>0</v>
      </c>
    </row>
    <row r="418" spans="1:1">
      <c r="A418" s="70">
        <f>IF(ISNUMBER(SEARCH(My_Sheet!$B$8,B418)),MAX($A$1:A417)+1,0)</f>
        <v>0</v>
      </c>
    </row>
    <row r="419" spans="1:1">
      <c r="A419" s="70">
        <f>IF(ISNUMBER(SEARCH(My_Sheet!$B$8,B419)),MAX($A$1:A418)+1,0)</f>
        <v>0</v>
      </c>
    </row>
    <row r="420" spans="1:1">
      <c r="A420" s="70">
        <f>IF(ISNUMBER(SEARCH(My_Sheet!$B$8,B420)),MAX($A$1:A419)+1,0)</f>
        <v>0</v>
      </c>
    </row>
    <row r="421" spans="1:1">
      <c r="A421" s="70">
        <f>IF(ISNUMBER(SEARCH(My_Sheet!$B$8,B421)),MAX($A$1:A420)+1,0)</f>
        <v>0</v>
      </c>
    </row>
    <row r="422" spans="1:1">
      <c r="A422" s="70">
        <f>IF(ISNUMBER(SEARCH(My_Sheet!$B$8,B422)),MAX($A$1:A421)+1,0)</f>
        <v>0</v>
      </c>
    </row>
    <row r="423" spans="1:1">
      <c r="A423" s="70">
        <f>IF(ISNUMBER(SEARCH(My_Sheet!$B$8,B423)),MAX($A$1:A422)+1,0)</f>
        <v>0</v>
      </c>
    </row>
    <row r="424" spans="1:1">
      <c r="A424" s="70">
        <f>IF(ISNUMBER(SEARCH(My_Sheet!$B$8,B424)),MAX($A$1:A423)+1,0)</f>
        <v>0</v>
      </c>
    </row>
    <row r="425" spans="1:1">
      <c r="A425" s="70">
        <f>IF(ISNUMBER(SEARCH(My_Sheet!$B$8,B425)),MAX($A$1:A424)+1,0)</f>
        <v>0</v>
      </c>
    </row>
    <row r="426" spans="1:1">
      <c r="A426" s="70">
        <f>IF(ISNUMBER(SEARCH(My_Sheet!$B$8,B426)),MAX($A$1:A425)+1,0)</f>
        <v>0</v>
      </c>
    </row>
    <row r="427" spans="1:1">
      <c r="A427" s="70">
        <f>IF(ISNUMBER(SEARCH(My_Sheet!$B$8,B427)),MAX($A$1:A426)+1,0)</f>
        <v>0</v>
      </c>
    </row>
    <row r="428" spans="1:1">
      <c r="A428" s="70">
        <f>IF(ISNUMBER(SEARCH(My_Sheet!$B$8,B428)),MAX($A$1:A427)+1,0)</f>
        <v>0</v>
      </c>
    </row>
    <row r="429" spans="1:1">
      <c r="A429" s="70">
        <f>IF(ISNUMBER(SEARCH(My_Sheet!$B$8,B429)),MAX($A$1:A428)+1,0)</f>
        <v>0</v>
      </c>
    </row>
    <row r="430" spans="1:1">
      <c r="A430" s="70">
        <f>IF(ISNUMBER(SEARCH(My_Sheet!$B$8,B430)),MAX($A$1:A429)+1,0)</f>
        <v>0</v>
      </c>
    </row>
    <row r="431" spans="1:1">
      <c r="A431" s="70">
        <f>IF(ISNUMBER(SEARCH(My_Sheet!$B$8,B431)),MAX($A$1:A430)+1,0)</f>
        <v>0</v>
      </c>
    </row>
    <row r="432" spans="1:1">
      <c r="A432" s="70">
        <f>IF(ISNUMBER(SEARCH(My_Sheet!$B$8,B432)),MAX($A$1:A431)+1,0)</f>
        <v>0</v>
      </c>
    </row>
    <row r="433" spans="1:1">
      <c r="A433" s="70">
        <f>IF(ISNUMBER(SEARCH(My_Sheet!$B$8,B433)),MAX($A$1:A432)+1,0)</f>
        <v>0</v>
      </c>
    </row>
    <row r="434" spans="1:1">
      <c r="A434" s="70">
        <f>IF(ISNUMBER(SEARCH(My_Sheet!$B$8,B434)),MAX($A$1:A433)+1,0)</f>
        <v>0</v>
      </c>
    </row>
    <row r="435" spans="1:1">
      <c r="A435" s="70">
        <f>IF(ISNUMBER(SEARCH(My_Sheet!$B$8,B435)),MAX($A$1:A434)+1,0)</f>
        <v>0</v>
      </c>
    </row>
    <row r="436" spans="1:1">
      <c r="A436" s="70">
        <f>IF(ISNUMBER(SEARCH(My_Sheet!$B$8,B436)),MAX($A$1:A435)+1,0)</f>
        <v>0</v>
      </c>
    </row>
    <row r="437" spans="1:1">
      <c r="A437" s="70">
        <f>IF(ISNUMBER(SEARCH(My_Sheet!$B$8,B437)),MAX($A$1:A436)+1,0)</f>
        <v>0</v>
      </c>
    </row>
    <row r="438" spans="1:1">
      <c r="A438" s="70">
        <f>IF(ISNUMBER(SEARCH(My_Sheet!$B$8,B438)),MAX($A$1:A437)+1,0)</f>
        <v>0</v>
      </c>
    </row>
    <row r="439" spans="1:1">
      <c r="A439" s="70">
        <f>IF(ISNUMBER(SEARCH(My_Sheet!$B$8,B439)),MAX($A$1:A438)+1,0)</f>
        <v>0</v>
      </c>
    </row>
    <row r="440" spans="1:1">
      <c r="A440" s="70">
        <f>IF(ISNUMBER(SEARCH(My_Sheet!$B$8,B440)),MAX($A$1:A439)+1,0)</f>
        <v>0</v>
      </c>
    </row>
    <row r="441" spans="1:1">
      <c r="A441" s="70">
        <f>IF(ISNUMBER(SEARCH(My_Sheet!$B$8,B441)),MAX($A$1:A440)+1,0)</f>
        <v>0</v>
      </c>
    </row>
    <row r="442" spans="1:1">
      <c r="A442" s="70">
        <f>IF(ISNUMBER(SEARCH(My_Sheet!$B$8,B442)),MAX($A$1:A441)+1,0)</f>
        <v>0</v>
      </c>
    </row>
    <row r="443" spans="1:1">
      <c r="A443" s="70">
        <f>IF(ISNUMBER(SEARCH(My_Sheet!$B$8,B443)),MAX($A$1:A442)+1,0)</f>
        <v>0</v>
      </c>
    </row>
    <row r="444" spans="1:1">
      <c r="A444" s="70">
        <f>IF(ISNUMBER(SEARCH(My_Sheet!$B$8,B444)),MAX($A$1:A443)+1,0)</f>
        <v>0</v>
      </c>
    </row>
    <row r="445" spans="1:1">
      <c r="A445" s="70">
        <f>IF(ISNUMBER(SEARCH(My_Sheet!$B$8,B445)),MAX($A$1:A444)+1,0)</f>
        <v>0</v>
      </c>
    </row>
    <row r="446" spans="1:1">
      <c r="A446" s="70">
        <f>IF(ISNUMBER(SEARCH(My_Sheet!$B$8,B446)),MAX($A$1:A445)+1,0)</f>
        <v>0</v>
      </c>
    </row>
    <row r="447" spans="1:1">
      <c r="A447" s="70">
        <f>IF(ISNUMBER(SEARCH(My_Sheet!$B$8,B447)),MAX($A$1:A446)+1,0)</f>
        <v>0</v>
      </c>
    </row>
    <row r="448" spans="1:1">
      <c r="A448" s="70">
        <f>IF(ISNUMBER(SEARCH(My_Sheet!$B$8,B448)),MAX($A$1:A447)+1,0)</f>
        <v>0</v>
      </c>
    </row>
    <row r="449" spans="1:1">
      <c r="A449" s="70">
        <f>IF(ISNUMBER(SEARCH(My_Sheet!$B$8,B449)),MAX($A$1:A448)+1,0)</f>
        <v>0</v>
      </c>
    </row>
    <row r="450" spans="1:1">
      <c r="A450" s="70">
        <f>IF(ISNUMBER(SEARCH(My_Sheet!$B$8,B450)),MAX($A$1:A449)+1,0)</f>
        <v>0</v>
      </c>
    </row>
    <row r="451" spans="1:1">
      <c r="A451" s="70">
        <f>IF(ISNUMBER(SEARCH(My_Sheet!$B$8,B451)),MAX($A$1:A450)+1,0)</f>
        <v>0</v>
      </c>
    </row>
    <row r="452" spans="1:1">
      <c r="A452" s="70">
        <f>IF(ISNUMBER(SEARCH(My_Sheet!$B$8,B452)),MAX($A$1:A451)+1,0)</f>
        <v>0</v>
      </c>
    </row>
    <row r="453" spans="1:1">
      <c r="A453" s="70">
        <f>IF(ISNUMBER(SEARCH(My_Sheet!$B$8,B453)),MAX($A$1:A452)+1,0)</f>
        <v>0</v>
      </c>
    </row>
    <row r="454" spans="1:1">
      <c r="A454" s="70">
        <f>IF(ISNUMBER(SEARCH(My_Sheet!$B$8,B454)),MAX($A$1:A453)+1,0)</f>
        <v>0</v>
      </c>
    </row>
    <row r="455" spans="1:1">
      <c r="A455" s="70">
        <f>IF(ISNUMBER(SEARCH(My_Sheet!$B$8,B455)),MAX($A$1:A454)+1,0)</f>
        <v>0</v>
      </c>
    </row>
    <row r="456" spans="1:1">
      <c r="A456" s="70">
        <f>IF(ISNUMBER(SEARCH(My_Sheet!$B$8,B456)),MAX($A$1:A455)+1,0)</f>
        <v>0</v>
      </c>
    </row>
    <row r="457" spans="1:1">
      <c r="A457" s="70">
        <f>IF(ISNUMBER(SEARCH(My_Sheet!$B$8,B457)),MAX($A$1:A456)+1,0)</f>
        <v>0</v>
      </c>
    </row>
    <row r="458" spans="1:1">
      <c r="A458" s="70">
        <f>IF(ISNUMBER(SEARCH(My_Sheet!$B$8,B458)),MAX($A$1:A457)+1,0)</f>
        <v>0</v>
      </c>
    </row>
    <row r="459" spans="1:1">
      <c r="A459" s="70">
        <f>IF(ISNUMBER(SEARCH(My_Sheet!$B$8,B459)),MAX($A$1:A458)+1,0)</f>
        <v>0</v>
      </c>
    </row>
    <row r="460" spans="1:1">
      <c r="A460" s="70">
        <f>IF(ISNUMBER(SEARCH(My_Sheet!$B$8,B460)),MAX($A$1:A459)+1,0)</f>
        <v>0</v>
      </c>
    </row>
    <row r="461" spans="1:1">
      <c r="A461" s="70">
        <f>IF(ISNUMBER(SEARCH(My_Sheet!$B$8,B461)),MAX($A$1:A460)+1,0)</f>
        <v>0</v>
      </c>
    </row>
    <row r="462" spans="1:1">
      <c r="A462" s="70">
        <f>IF(ISNUMBER(SEARCH(My_Sheet!$B$8,B462)),MAX($A$1:A461)+1,0)</f>
        <v>0</v>
      </c>
    </row>
    <row r="463" spans="1:1">
      <c r="A463" s="70">
        <f>IF(ISNUMBER(SEARCH(My_Sheet!$B$8,B463)),MAX($A$1:A462)+1,0)</f>
        <v>0</v>
      </c>
    </row>
    <row r="464" spans="1:1">
      <c r="A464" s="70">
        <f>IF(ISNUMBER(SEARCH(My_Sheet!$B$8,B464)),MAX($A$1:A463)+1,0)</f>
        <v>0</v>
      </c>
    </row>
    <row r="465" spans="1:1">
      <c r="A465" s="70">
        <f>IF(ISNUMBER(SEARCH(My_Sheet!$B$8,B465)),MAX($A$1:A464)+1,0)</f>
        <v>0</v>
      </c>
    </row>
    <row r="466" spans="1:1">
      <c r="A466" s="70">
        <f>IF(ISNUMBER(SEARCH(My_Sheet!$B$8,B466)),MAX($A$1:A465)+1,0)</f>
        <v>0</v>
      </c>
    </row>
    <row r="467" spans="1:1">
      <c r="A467" s="70">
        <f>IF(ISNUMBER(SEARCH(My_Sheet!$B$8,B467)),MAX($A$1:A466)+1,0)</f>
        <v>0</v>
      </c>
    </row>
    <row r="468" spans="1:1">
      <c r="A468" s="70">
        <f>IF(ISNUMBER(SEARCH(My_Sheet!$B$8,B468)),MAX($A$1:A467)+1,0)</f>
        <v>0</v>
      </c>
    </row>
    <row r="469" spans="1:1">
      <c r="A469" s="70">
        <f>IF(ISNUMBER(SEARCH(My_Sheet!$B$8,B469)),MAX($A$1:A468)+1,0)</f>
        <v>0</v>
      </c>
    </row>
    <row r="470" spans="1:1">
      <c r="A470" s="70">
        <f>IF(ISNUMBER(SEARCH(My_Sheet!$B$8,B470)),MAX($A$1:A469)+1,0)</f>
        <v>0</v>
      </c>
    </row>
    <row r="471" spans="1:1">
      <c r="A471" s="70">
        <f>IF(ISNUMBER(SEARCH(My_Sheet!$B$8,B471)),MAX($A$1:A470)+1,0)</f>
        <v>0</v>
      </c>
    </row>
    <row r="472" spans="1:1">
      <c r="A472" s="70">
        <f>IF(ISNUMBER(SEARCH(My_Sheet!$B$8,B472)),MAX($A$1:A471)+1,0)</f>
        <v>0</v>
      </c>
    </row>
    <row r="473" spans="1:1">
      <c r="A473" s="70">
        <f>IF(ISNUMBER(SEARCH(My_Sheet!$B$8,B473)),MAX($A$1:A472)+1,0)</f>
        <v>0</v>
      </c>
    </row>
    <row r="474" spans="1:1">
      <c r="A474" s="70">
        <f>IF(ISNUMBER(SEARCH(My_Sheet!$B$8,B474)),MAX($A$1:A473)+1,0)</f>
        <v>0</v>
      </c>
    </row>
    <row r="475" spans="1:1">
      <c r="A475" s="70">
        <f>IF(ISNUMBER(SEARCH(My_Sheet!$B$8,B475)),MAX($A$1:A474)+1,0)</f>
        <v>0</v>
      </c>
    </row>
    <row r="476" spans="1:1">
      <c r="A476" s="70">
        <f>IF(ISNUMBER(SEARCH(My_Sheet!$B$8,B476)),MAX($A$1:A475)+1,0)</f>
        <v>0</v>
      </c>
    </row>
    <row r="477" spans="1:1">
      <c r="A477" s="70">
        <f>IF(ISNUMBER(SEARCH(My_Sheet!$B$8,B477)),MAX($A$1:A476)+1,0)</f>
        <v>0</v>
      </c>
    </row>
    <row r="478" spans="1:1">
      <c r="A478" s="70">
        <f>IF(ISNUMBER(SEARCH(My_Sheet!$B$8,B478)),MAX($A$1:A477)+1,0)</f>
        <v>0</v>
      </c>
    </row>
    <row r="479" spans="1:1">
      <c r="A479" s="70">
        <f>IF(ISNUMBER(SEARCH(My_Sheet!$B$8,B479)),MAX($A$1:A478)+1,0)</f>
        <v>0</v>
      </c>
    </row>
    <row r="480" spans="1:1">
      <c r="A480" s="70">
        <f>IF(ISNUMBER(SEARCH(My_Sheet!$B$8,B480)),MAX($A$1:A479)+1,0)</f>
        <v>0</v>
      </c>
    </row>
    <row r="481" spans="1:1">
      <c r="A481" s="70">
        <f>IF(ISNUMBER(SEARCH(My_Sheet!$B$8,B481)),MAX($A$1:A480)+1,0)</f>
        <v>0</v>
      </c>
    </row>
    <row r="482" spans="1:1">
      <c r="A482" s="70">
        <f>IF(ISNUMBER(SEARCH(My_Sheet!$B$8,B482)),MAX($A$1:A481)+1,0)</f>
        <v>0</v>
      </c>
    </row>
    <row r="483" spans="1:1">
      <c r="A483" s="70">
        <f>IF(ISNUMBER(SEARCH(My_Sheet!$B$8,B483)),MAX($A$1:A482)+1,0)</f>
        <v>0</v>
      </c>
    </row>
    <row r="484" spans="1:1">
      <c r="A484" s="70">
        <f>IF(ISNUMBER(SEARCH(My_Sheet!$B$8,B484)),MAX($A$1:A483)+1,0)</f>
        <v>0</v>
      </c>
    </row>
    <row r="485" spans="1:1">
      <c r="A485" s="70">
        <f>IF(ISNUMBER(SEARCH(My_Sheet!$B$8,B485)),MAX($A$1:A484)+1,0)</f>
        <v>0</v>
      </c>
    </row>
    <row r="486" spans="1:1">
      <c r="A486" s="70">
        <f>IF(ISNUMBER(SEARCH(My_Sheet!$B$8,B486)),MAX($A$1:A485)+1,0)</f>
        <v>0</v>
      </c>
    </row>
    <row r="487" spans="1:1">
      <c r="A487" s="70">
        <f>IF(ISNUMBER(SEARCH(My_Sheet!$B$8,B487)),MAX($A$1:A486)+1,0)</f>
        <v>0</v>
      </c>
    </row>
    <row r="488" spans="1:1">
      <c r="A488" s="70">
        <f>IF(ISNUMBER(SEARCH(My_Sheet!$B$8,B488)),MAX($A$1:A487)+1,0)</f>
        <v>0</v>
      </c>
    </row>
    <row r="489" spans="1:1">
      <c r="A489" s="70">
        <f>IF(ISNUMBER(SEARCH(My_Sheet!$B$8,B489)),MAX($A$1:A488)+1,0)</f>
        <v>0</v>
      </c>
    </row>
    <row r="490" spans="1:1">
      <c r="A490" s="70">
        <f>IF(ISNUMBER(SEARCH(My_Sheet!$B$8,B490)),MAX($A$1:A489)+1,0)</f>
        <v>0</v>
      </c>
    </row>
    <row r="491" spans="1:1">
      <c r="A491" s="70">
        <f>IF(ISNUMBER(SEARCH(My_Sheet!$B$8,B491)),MAX($A$1:A490)+1,0)</f>
        <v>0</v>
      </c>
    </row>
    <row r="492" spans="1:1">
      <c r="A492" s="70">
        <f>IF(ISNUMBER(SEARCH(My_Sheet!$B$8,B492)),MAX($A$1:A491)+1,0)</f>
        <v>0</v>
      </c>
    </row>
    <row r="493" spans="1:1">
      <c r="A493" s="70">
        <f>IF(ISNUMBER(SEARCH(My_Sheet!$B$8,B493)),MAX($A$1:A492)+1,0)</f>
        <v>0</v>
      </c>
    </row>
    <row r="494" spans="1:1">
      <c r="A494" s="70">
        <f>IF(ISNUMBER(SEARCH(My_Sheet!$B$8,B494)),MAX($A$1:A493)+1,0)</f>
        <v>0</v>
      </c>
    </row>
    <row r="495" spans="1:1">
      <c r="A495" s="70">
        <f>IF(ISNUMBER(SEARCH(My_Sheet!$B$8,B495)),MAX($A$1:A494)+1,0)</f>
        <v>0</v>
      </c>
    </row>
    <row r="496" spans="1:1">
      <c r="A496" s="70">
        <f>IF(ISNUMBER(SEARCH(My_Sheet!$B$8,B496)),MAX($A$1:A495)+1,0)</f>
        <v>0</v>
      </c>
    </row>
    <row r="497" spans="1:1">
      <c r="A497" s="70">
        <f>IF(ISNUMBER(SEARCH(My_Sheet!$B$8,B497)),MAX($A$1:A496)+1,0)</f>
        <v>0</v>
      </c>
    </row>
    <row r="498" spans="1:1">
      <c r="A498" s="70">
        <f>IF(ISNUMBER(SEARCH(My_Sheet!$B$8,B498)),MAX($A$1:A497)+1,0)</f>
        <v>0</v>
      </c>
    </row>
    <row r="499" spans="1:1">
      <c r="A499" s="70">
        <f>IF(ISNUMBER(SEARCH(My_Sheet!$B$8,B499)),MAX($A$1:A498)+1,0)</f>
        <v>0</v>
      </c>
    </row>
    <row r="500" spans="1:1">
      <c r="A500" s="70">
        <f>IF(ISNUMBER(SEARCH(My_Sheet!$B$8,B500)),MAX($A$1:A499)+1,0)</f>
        <v>0</v>
      </c>
    </row>
    <row r="501" spans="1:1">
      <c r="A501" s="70">
        <f>IF(ISNUMBER(SEARCH(My_Sheet!$B$8,B501)),MAX($A$1:A500)+1,0)</f>
        <v>0</v>
      </c>
    </row>
    <row r="502" spans="1:1">
      <c r="A502" s="70">
        <f>IF(ISNUMBER(SEARCH(My_Sheet!$B$8,B502)),MAX($A$1:A501)+1,0)</f>
        <v>0</v>
      </c>
    </row>
    <row r="503" spans="1:1">
      <c r="A503" s="70">
        <f>IF(ISNUMBER(SEARCH(My_Sheet!$B$8,B503)),MAX($A$1:A502)+1,0)</f>
        <v>0</v>
      </c>
    </row>
    <row r="504" spans="1:1">
      <c r="A504" s="70">
        <f>IF(ISNUMBER(SEARCH(My_Sheet!$B$8,B504)),MAX($A$1:A503)+1,0)</f>
        <v>0</v>
      </c>
    </row>
    <row r="505" spans="1:1">
      <c r="A505" s="70">
        <f>IF(ISNUMBER(SEARCH(My_Sheet!$B$8,B505)),MAX($A$1:A504)+1,0)</f>
        <v>0</v>
      </c>
    </row>
    <row r="506" spans="1:1">
      <c r="A506" s="70">
        <f>IF(ISNUMBER(SEARCH(My_Sheet!$B$8,B506)),MAX($A$1:A505)+1,0)</f>
        <v>0</v>
      </c>
    </row>
    <row r="507" spans="1:1">
      <c r="A507" s="70">
        <f>IF(ISNUMBER(SEARCH(My_Sheet!$B$8,B507)),MAX($A$1:A506)+1,0)</f>
        <v>0</v>
      </c>
    </row>
    <row r="508" spans="1:1">
      <c r="A508" s="70">
        <f>IF(ISNUMBER(SEARCH(My_Sheet!$B$8,B508)),MAX($A$1:A507)+1,0)</f>
        <v>0</v>
      </c>
    </row>
    <row r="509" spans="1:1">
      <c r="A509" s="70">
        <f>IF(ISNUMBER(SEARCH(My_Sheet!$B$8,B509)),MAX($A$1:A508)+1,0)</f>
        <v>0</v>
      </c>
    </row>
    <row r="510" spans="1:1">
      <c r="A510" s="70">
        <f>IF(ISNUMBER(SEARCH(My_Sheet!$B$8,B510)),MAX($A$1:A509)+1,0)</f>
        <v>0</v>
      </c>
    </row>
    <row r="511" spans="1:1">
      <c r="A511" s="70">
        <f>IF(ISNUMBER(SEARCH(My_Sheet!$B$8,B511)),MAX($A$1:A510)+1,0)</f>
        <v>0</v>
      </c>
    </row>
    <row r="512" spans="1:1">
      <c r="A512" s="70">
        <f>IF(ISNUMBER(SEARCH(My_Sheet!$B$8,B512)),MAX($A$1:A511)+1,0)</f>
        <v>0</v>
      </c>
    </row>
    <row r="513" spans="1:1">
      <c r="A513" s="70">
        <f>IF(ISNUMBER(SEARCH(My_Sheet!$B$8,B513)),MAX($A$1:A512)+1,0)</f>
        <v>0</v>
      </c>
    </row>
    <row r="514" spans="1:1">
      <c r="A514" s="70">
        <f>IF(ISNUMBER(SEARCH(My_Sheet!$B$8,B514)),MAX($A$1:A513)+1,0)</f>
        <v>0</v>
      </c>
    </row>
    <row r="515" spans="1:1">
      <c r="A515" s="70">
        <f>IF(ISNUMBER(SEARCH(My_Sheet!$B$8,B515)),MAX($A$1:A514)+1,0)</f>
        <v>0</v>
      </c>
    </row>
    <row r="516" spans="1:1">
      <c r="A516" s="70">
        <f>IF(ISNUMBER(SEARCH(My_Sheet!$B$8,B516)),MAX($A$1:A515)+1,0)</f>
        <v>0</v>
      </c>
    </row>
    <row r="517" spans="1:1">
      <c r="A517" s="70">
        <f>IF(ISNUMBER(SEARCH(My_Sheet!$B$8,B517)),MAX($A$1:A516)+1,0)</f>
        <v>0</v>
      </c>
    </row>
    <row r="518" spans="1:1">
      <c r="A518" s="70">
        <f>IF(ISNUMBER(SEARCH(My_Sheet!$B$8,B518)),MAX($A$1:A517)+1,0)</f>
        <v>0</v>
      </c>
    </row>
    <row r="519" spans="1:1">
      <c r="A519" s="70">
        <f>IF(ISNUMBER(SEARCH(My_Sheet!$B$8,B519)),MAX($A$1:A518)+1,0)</f>
        <v>0</v>
      </c>
    </row>
    <row r="520" spans="1:1">
      <c r="A520" s="70">
        <f>IF(ISNUMBER(SEARCH(My_Sheet!$B$8,B520)),MAX($A$1:A519)+1,0)</f>
        <v>0</v>
      </c>
    </row>
    <row r="521" spans="1:1">
      <c r="A521" s="70">
        <f>IF(ISNUMBER(SEARCH(My_Sheet!$B$8,B521)),MAX($A$1:A520)+1,0)</f>
        <v>0</v>
      </c>
    </row>
    <row r="522" spans="1:1">
      <c r="A522" s="70">
        <f>IF(ISNUMBER(SEARCH(My_Sheet!$B$8,B522)),MAX($A$1:A521)+1,0)</f>
        <v>0</v>
      </c>
    </row>
    <row r="523" spans="1:1">
      <c r="A523" s="70">
        <f>IF(ISNUMBER(SEARCH(My_Sheet!$B$8,B523)),MAX($A$1:A522)+1,0)</f>
        <v>0</v>
      </c>
    </row>
    <row r="524" spans="1:1">
      <c r="A524" s="70">
        <f>IF(ISNUMBER(SEARCH(My_Sheet!$B$8,B524)),MAX($A$1:A523)+1,0)</f>
        <v>0</v>
      </c>
    </row>
    <row r="525" spans="1:1">
      <c r="A525" s="70">
        <f>IF(ISNUMBER(SEARCH(My_Sheet!$B$8,B525)),MAX($A$1:A524)+1,0)</f>
        <v>0</v>
      </c>
    </row>
    <row r="526" spans="1:1">
      <c r="A526" s="70">
        <f>IF(ISNUMBER(SEARCH(My_Sheet!$B$8,B526)),MAX($A$1:A525)+1,0)</f>
        <v>0</v>
      </c>
    </row>
    <row r="527" spans="1:1">
      <c r="A527" s="70">
        <f>IF(ISNUMBER(SEARCH(My_Sheet!$B$8,B527)),MAX($A$1:A526)+1,0)</f>
        <v>0</v>
      </c>
    </row>
    <row r="528" spans="1:1">
      <c r="A528" s="70">
        <f>IF(ISNUMBER(SEARCH(My_Sheet!$B$8,B528)),MAX($A$1:A527)+1,0)</f>
        <v>0</v>
      </c>
    </row>
    <row r="529" spans="1:1">
      <c r="A529" s="70">
        <f>IF(ISNUMBER(SEARCH(My_Sheet!$B$8,B529)),MAX($A$1:A528)+1,0)</f>
        <v>0</v>
      </c>
    </row>
    <row r="530" spans="1:1">
      <c r="A530" s="70">
        <f>IF(ISNUMBER(SEARCH(My_Sheet!$B$8,B530)),MAX($A$1:A529)+1,0)</f>
        <v>0</v>
      </c>
    </row>
    <row r="531" spans="1:1">
      <c r="A531" s="70">
        <f>IF(ISNUMBER(SEARCH(My_Sheet!$B$8,B531)),MAX($A$1:A530)+1,0)</f>
        <v>0</v>
      </c>
    </row>
    <row r="532" spans="1:1">
      <c r="A532" s="70">
        <f>IF(ISNUMBER(SEARCH(My_Sheet!$B$8,B532)),MAX($A$1:A531)+1,0)</f>
        <v>0</v>
      </c>
    </row>
    <row r="533" spans="1:1">
      <c r="A533" s="70">
        <f>IF(ISNUMBER(SEARCH(My_Sheet!$B$8,B533)),MAX($A$1:A532)+1,0)</f>
        <v>0</v>
      </c>
    </row>
    <row r="534" spans="1:1">
      <c r="A534" s="70">
        <f>IF(ISNUMBER(SEARCH(My_Sheet!$B$8,B534)),MAX($A$1:A533)+1,0)</f>
        <v>0</v>
      </c>
    </row>
    <row r="535" spans="1:1">
      <c r="A535" s="70">
        <f>IF(ISNUMBER(SEARCH(My_Sheet!$B$8,B535)),MAX($A$1:A534)+1,0)</f>
        <v>0</v>
      </c>
    </row>
    <row r="536" spans="1:1">
      <c r="A536" s="70">
        <f>IF(ISNUMBER(SEARCH(My_Sheet!$B$8,B536)),MAX($A$1:A535)+1,0)</f>
        <v>0</v>
      </c>
    </row>
    <row r="537" spans="1:1">
      <c r="A537" s="70">
        <f>IF(ISNUMBER(SEARCH(My_Sheet!$B$8,B537)),MAX($A$1:A536)+1,0)</f>
        <v>0</v>
      </c>
    </row>
    <row r="538" spans="1:1">
      <c r="A538" s="70">
        <f>IF(ISNUMBER(SEARCH(My_Sheet!$B$8,B538)),MAX($A$1:A537)+1,0)</f>
        <v>0</v>
      </c>
    </row>
    <row r="539" spans="1:1">
      <c r="A539" s="70">
        <f>IF(ISNUMBER(SEARCH(My_Sheet!$B$8,B539)),MAX($A$1:A538)+1,0)</f>
        <v>0</v>
      </c>
    </row>
    <row r="540" spans="1:1">
      <c r="A540" s="70">
        <f>IF(ISNUMBER(SEARCH(My_Sheet!$B$8,B540)),MAX($A$1:A539)+1,0)</f>
        <v>0</v>
      </c>
    </row>
    <row r="541" spans="1:1">
      <c r="A541" s="70">
        <f>IF(ISNUMBER(SEARCH(My_Sheet!$B$8,B541)),MAX($A$1:A540)+1,0)</f>
        <v>0</v>
      </c>
    </row>
    <row r="542" spans="1:1">
      <c r="A542" s="70">
        <f>IF(ISNUMBER(SEARCH(My_Sheet!$B$8,B542)),MAX($A$1:A541)+1,0)</f>
        <v>0</v>
      </c>
    </row>
    <row r="543" spans="1:1">
      <c r="A543" s="70">
        <f>IF(ISNUMBER(SEARCH(My_Sheet!$B$8,B543)),MAX($A$1:A542)+1,0)</f>
        <v>0</v>
      </c>
    </row>
    <row r="544" spans="1:1">
      <c r="A544" s="70">
        <f>IF(ISNUMBER(SEARCH(My_Sheet!$B$8,B544)),MAX($A$1:A543)+1,0)</f>
        <v>0</v>
      </c>
    </row>
    <row r="545" spans="1:1">
      <c r="A545" s="70">
        <f>IF(ISNUMBER(SEARCH(My_Sheet!$B$8,B545)),MAX($A$1:A544)+1,0)</f>
        <v>0</v>
      </c>
    </row>
    <row r="546" spans="1:1">
      <c r="A546" s="70">
        <f>IF(ISNUMBER(SEARCH(My_Sheet!$B$8,B546)),MAX($A$1:A545)+1,0)</f>
        <v>0</v>
      </c>
    </row>
    <row r="547" spans="1:1">
      <c r="A547" s="70">
        <f>IF(ISNUMBER(SEARCH(My_Sheet!$B$8,B547)),MAX($A$1:A546)+1,0)</f>
        <v>0</v>
      </c>
    </row>
    <row r="548" spans="1:1">
      <c r="A548" s="70">
        <f>IF(ISNUMBER(SEARCH(My_Sheet!$B$8,B548)),MAX($A$1:A547)+1,0)</f>
        <v>0</v>
      </c>
    </row>
    <row r="549" spans="1:1">
      <c r="A549" s="70">
        <f>IF(ISNUMBER(SEARCH(My_Sheet!$B$8,B549)),MAX($A$1:A548)+1,0)</f>
        <v>0</v>
      </c>
    </row>
    <row r="550" spans="1:1">
      <c r="A550" s="70">
        <f>IF(ISNUMBER(SEARCH(My_Sheet!$B$8,B550)),MAX($A$1:A549)+1,0)</f>
        <v>0</v>
      </c>
    </row>
    <row r="551" spans="1:1">
      <c r="A551" s="70">
        <f>IF(ISNUMBER(SEARCH(My_Sheet!$B$8,B551)),MAX($A$1:A550)+1,0)</f>
        <v>0</v>
      </c>
    </row>
    <row r="552" spans="1:1">
      <c r="A552" s="70">
        <f>IF(ISNUMBER(SEARCH(My_Sheet!$B$8,B552)),MAX($A$1:A551)+1,0)</f>
        <v>0</v>
      </c>
    </row>
    <row r="553" spans="1:1">
      <c r="A553" s="70">
        <f>IF(ISNUMBER(SEARCH(My_Sheet!$B$8,B553)),MAX($A$1:A552)+1,0)</f>
        <v>0</v>
      </c>
    </row>
    <row r="554" spans="1:1">
      <c r="A554" s="70">
        <f>IF(ISNUMBER(SEARCH(My_Sheet!$B$8,B554)),MAX($A$1:A553)+1,0)</f>
        <v>0</v>
      </c>
    </row>
    <row r="555" spans="1:1">
      <c r="A555" s="70">
        <f>IF(ISNUMBER(SEARCH(My_Sheet!$B$8,B555)),MAX($A$1:A554)+1,0)</f>
        <v>0</v>
      </c>
    </row>
    <row r="556" spans="1:1">
      <c r="A556" s="70">
        <f>IF(ISNUMBER(SEARCH(My_Sheet!$B$8,B556)),MAX($A$1:A555)+1,0)</f>
        <v>0</v>
      </c>
    </row>
    <row r="557" spans="1:1">
      <c r="A557" s="70">
        <f>IF(ISNUMBER(SEARCH(My_Sheet!$B$8,B557)),MAX($A$1:A556)+1,0)</f>
        <v>0</v>
      </c>
    </row>
    <row r="558" spans="1:1">
      <c r="A558" s="70">
        <f>IF(ISNUMBER(SEARCH(My_Sheet!$B$8,B558)),MAX($A$1:A557)+1,0)</f>
        <v>0</v>
      </c>
    </row>
    <row r="559" spans="1:1">
      <c r="A559" s="70">
        <f>IF(ISNUMBER(SEARCH(My_Sheet!$B$8,B559)),MAX($A$1:A558)+1,0)</f>
        <v>0</v>
      </c>
    </row>
    <row r="560" spans="1:1">
      <c r="A560" s="70">
        <f>IF(ISNUMBER(SEARCH(My_Sheet!$B$8,B560)),MAX($A$1:A559)+1,0)</f>
        <v>0</v>
      </c>
    </row>
    <row r="561" spans="1:1">
      <c r="A561" s="70">
        <f>IF(ISNUMBER(SEARCH(My_Sheet!$B$8,B561)),MAX($A$1:A560)+1,0)</f>
        <v>0</v>
      </c>
    </row>
    <row r="562" spans="1:1">
      <c r="A562" s="70">
        <f>IF(ISNUMBER(SEARCH(My_Sheet!$B$8,B562)),MAX($A$1:A561)+1,0)</f>
        <v>0</v>
      </c>
    </row>
    <row r="563" spans="1:1">
      <c r="A563" s="70">
        <f>IF(ISNUMBER(SEARCH(My_Sheet!$B$8,B563)),MAX($A$1:A562)+1,0)</f>
        <v>0</v>
      </c>
    </row>
    <row r="564" spans="1:1">
      <c r="A564" s="70">
        <f>IF(ISNUMBER(SEARCH(My_Sheet!$B$8,B564)),MAX($A$1:A563)+1,0)</f>
        <v>0</v>
      </c>
    </row>
    <row r="565" spans="1:1">
      <c r="A565" s="70">
        <f>IF(ISNUMBER(SEARCH(My_Sheet!$B$8,B565)),MAX($A$1:A564)+1,0)</f>
        <v>0</v>
      </c>
    </row>
    <row r="566" spans="1:1">
      <c r="A566" s="70">
        <f>IF(ISNUMBER(SEARCH(My_Sheet!$B$8,B566)),MAX($A$1:A565)+1,0)</f>
        <v>0</v>
      </c>
    </row>
    <row r="567" spans="1:1">
      <c r="A567" s="70">
        <f>IF(ISNUMBER(SEARCH(My_Sheet!$B$8,B567)),MAX($A$1:A566)+1,0)</f>
        <v>0</v>
      </c>
    </row>
    <row r="568" spans="1:1">
      <c r="A568" s="70">
        <f>IF(ISNUMBER(SEARCH(My_Sheet!$B$8,B568)),MAX($A$1:A567)+1,0)</f>
        <v>0</v>
      </c>
    </row>
    <row r="569" spans="1:1">
      <c r="A569" s="70">
        <f>IF(ISNUMBER(SEARCH(My_Sheet!$B$8,B569)),MAX($A$1:A568)+1,0)</f>
        <v>0</v>
      </c>
    </row>
    <row r="570" spans="1:1">
      <c r="A570" s="70">
        <f>IF(ISNUMBER(SEARCH(My_Sheet!$B$8,B570)),MAX($A$1:A569)+1,0)</f>
        <v>0</v>
      </c>
    </row>
    <row r="571" spans="1:1">
      <c r="A571" s="70">
        <f>IF(ISNUMBER(SEARCH(My_Sheet!$B$8,B571)),MAX($A$1:A570)+1,0)</f>
        <v>0</v>
      </c>
    </row>
    <row r="572" spans="1:1">
      <c r="A572" s="70">
        <f>IF(ISNUMBER(SEARCH(My_Sheet!$B$8,B572)),MAX($A$1:A571)+1,0)</f>
        <v>0</v>
      </c>
    </row>
    <row r="573" spans="1:1">
      <c r="A573" s="70">
        <f>IF(ISNUMBER(SEARCH(My_Sheet!$B$8,B573)),MAX($A$1:A572)+1,0)</f>
        <v>0</v>
      </c>
    </row>
    <row r="574" spans="1:1">
      <c r="A574" s="70">
        <f>IF(ISNUMBER(SEARCH(My_Sheet!$B$8,B574)),MAX($A$1:A573)+1,0)</f>
        <v>0</v>
      </c>
    </row>
    <row r="575" spans="1:1">
      <c r="A575" s="70">
        <f>IF(ISNUMBER(SEARCH(My_Sheet!$B$8,B575)),MAX($A$1:A574)+1,0)</f>
        <v>0</v>
      </c>
    </row>
    <row r="576" spans="1:1">
      <c r="A576" s="70">
        <f>IF(ISNUMBER(SEARCH(My_Sheet!$B$8,B576)),MAX($A$1:A575)+1,0)</f>
        <v>0</v>
      </c>
    </row>
    <row r="577" spans="1:1">
      <c r="A577" s="70">
        <f>IF(ISNUMBER(SEARCH(My_Sheet!$B$8,B577)),MAX($A$1:A576)+1,0)</f>
        <v>0</v>
      </c>
    </row>
    <row r="578" spans="1:1">
      <c r="A578" s="70">
        <f>IF(ISNUMBER(SEARCH(My_Sheet!$B$8,B578)),MAX($A$1:A577)+1,0)</f>
        <v>0</v>
      </c>
    </row>
    <row r="579" spans="1:1">
      <c r="A579" s="70">
        <f>IF(ISNUMBER(SEARCH(My_Sheet!$B$8,B579)),MAX($A$1:A578)+1,0)</f>
        <v>0</v>
      </c>
    </row>
    <row r="580" spans="1:1">
      <c r="A580" s="70">
        <f>IF(ISNUMBER(SEARCH(My_Sheet!$B$8,B580)),MAX($A$1:A579)+1,0)</f>
        <v>0</v>
      </c>
    </row>
    <row r="581" spans="1:1">
      <c r="A581" s="70">
        <f>IF(ISNUMBER(SEARCH(My_Sheet!$B$8,B581)),MAX($A$1:A580)+1,0)</f>
        <v>0</v>
      </c>
    </row>
    <row r="582" spans="1:1">
      <c r="A582" s="70">
        <f>IF(ISNUMBER(SEARCH(My_Sheet!$B$8,B582)),MAX($A$1:A581)+1,0)</f>
        <v>0</v>
      </c>
    </row>
    <row r="583" spans="1:1">
      <c r="A583" s="70">
        <f>IF(ISNUMBER(SEARCH(My_Sheet!$B$8,B583)),MAX($A$1:A582)+1,0)</f>
        <v>0</v>
      </c>
    </row>
    <row r="584" spans="1:1">
      <c r="A584" s="70">
        <f>IF(ISNUMBER(SEARCH(My_Sheet!$B$8,B584)),MAX($A$1:A583)+1,0)</f>
        <v>0</v>
      </c>
    </row>
    <row r="585" spans="1:1">
      <c r="A585" s="70">
        <f>IF(ISNUMBER(SEARCH(My_Sheet!$B$8,B585)),MAX($A$1:A584)+1,0)</f>
        <v>0</v>
      </c>
    </row>
    <row r="586" spans="1:1">
      <c r="A586" s="70">
        <f>IF(ISNUMBER(SEARCH(My_Sheet!$B$8,B586)),MAX($A$1:A585)+1,0)</f>
        <v>0</v>
      </c>
    </row>
    <row r="587" spans="1:1">
      <c r="A587" s="70">
        <f>IF(ISNUMBER(SEARCH(My_Sheet!$B$8,B587)),MAX($A$1:A586)+1,0)</f>
        <v>0</v>
      </c>
    </row>
    <row r="588" spans="1:1">
      <c r="A588" s="70">
        <f>IF(ISNUMBER(SEARCH(My_Sheet!$B$8,B588)),MAX($A$1:A587)+1,0)</f>
        <v>0</v>
      </c>
    </row>
    <row r="589" spans="1:1">
      <c r="A589" s="70">
        <f>IF(ISNUMBER(SEARCH(My_Sheet!$B$8,B589)),MAX($A$1:A588)+1,0)</f>
        <v>0</v>
      </c>
    </row>
    <row r="590" spans="1:1">
      <c r="A590" s="70">
        <f>IF(ISNUMBER(SEARCH(My_Sheet!$B$8,B590)),MAX($A$1:A589)+1,0)</f>
        <v>0</v>
      </c>
    </row>
    <row r="591" spans="1:1">
      <c r="A591" s="70">
        <f>IF(ISNUMBER(SEARCH(My_Sheet!$B$8,B591)),MAX($A$1:A590)+1,0)</f>
        <v>0</v>
      </c>
    </row>
    <row r="592" spans="1:1">
      <c r="A592" s="70">
        <f>IF(ISNUMBER(SEARCH(My_Sheet!$B$8,B592)),MAX($A$1:A591)+1,0)</f>
        <v>0</v>
      </c>
    </row>
    <row r="593" spans="1:1">
      <c r="A593" s="70">
        <f>IF(ISNUMBER(SEARCH(My_Sheet!$B$8,B593)),MAX($A$1:A592)+1,0)</f>
        <v>0</v>
      </c>
    </row>
    <row r="594" spans="1:1">
      <c r="A594" s="70">
        <f>IF(ISNUMBER(SEARCH(My_Sheet!$B$8,B594)),MAX($A$1:A593)+1,0)</f>
        <v>0</v>
      </c>
    </row>
    <row r="595" spans="1:1">
      <c r="A595" s="70">
        <f>IF(ISNUMBER(SEARCH(My_Sheet!$B$8,B595)),MAX($A$1:A594)+1,0)</f>
        <v>0</v>
      </c>
    </row>
    <row r="596" spans="1:1">
      <c r="A596" s="70">
        <f>IF(ISNUMBER(SEARCH(My_Sheet!$B$8,B596)),MAX($A$1:A595)+1,0)</f>
        <v>0</v>
      </c>
    </row>
    <row r="597" spans="1:1">
      <c r="A597" s="70">
        <f>IF(ISNUMBER(SEARCH(My_Sheet!$B$8,B597)),MAX($A$1:A596)+1,0)</f>
        <v>0</v>
      </c>
    </row>
    <row r="598" spans="1:1">
      <c r="A598" s="70">
        <f>IF(ISNUMBER(SEARCH(My_Sheet!$B$8,B598)),MAX($A$1:A597)+1,0)</f>
        <v>0</v>
      </c>
    </row>
    <row r="599" spans="1:1">
      <c r="A599" s="70">
        <f>IF(ISNUMBER(SEARCH(My_Sheet!$B$8,B599)),MAX($A$1:A598)+1,0)</f>
        <v>0</v>
      </c>
    </row>
    <row r="600" spans="1:1">
      <c r="A600" s="70">
        <f>IF(ISNUMBER(SEARCH(My_Sheet!$B$8,B600)),MAX($A$1:A599)+1,0)</f>
        <v>0</v>
      </c>
    </row>
    <row r="601" spans="1:1">
      <c r="A601" s="70">
        <f>IF(ISNUMBER(SEARCH(My_Sheet!$B$8,B601)),MAX($A$1:A600)+1,0)</f>
        <v>0</v>
      </c>
    </row>
    <row r="602" spans="1:1">
      <c r="A602" s="70">
        <f>IF(ISNUMBER(SEARCH(My_Sheet!$B$8,B602)),MAX($A$1:A601)+1,0)</f>
        <v>0</v>
      </c>
    </row>
    <row r="603" spans="1:1">
      <c r="A603" s="70">
        <f>IF(ISNUMBER(SEARCH(My_Sheet!$B$8,B603)),MAX($A$1:A602)+1,0)</f>
        <v>0</v>
      </c>
    </row>
    <row r="604" spans="1:1">
      <c r="A604" s="70">
        <f>IF(ISNUMBER(SEARCH(My_Sheet!$B$8,B604)),MAX($A$1:A603)+1,0)</f>
        <v>0</v>
      </c>
    </row>
    <row r="605" spans="1:1">
      <c r="A605" s="70">
        <f>IF(ISNUMBER(SEARCH(My_Sheet!$B$8,B605)),MAX($A$1:A604)+1,0)</f>
        <v>0</v>
      </c>
    </row>
    <row r="606" spans="1:1">
      <c r="A606" s="70">
        <f>IF(ISNUMBER(SEARCH(My_Sheet!$B$8,B606)),MAX($A$1:A605)+1,0)</f>
        <v>0</v>
      </c>
    </row>
    <row r="607" spans="1:1">
      <c r="A607" s="70">
        <f>IF(ISNUMBER(SEARCH(My_Sheet!$B$8,B607)),MAX($A$1:A606)+1,0)</f>
        <v>0</v>
      </c>
    </row>
    <row r="608" spans="1:1">
      <c r="A608" s="70">
        <f>IF(ISNUMBER(SEARCH(My_Sheet!$B$8,B608)),MAX($A$1:A607)+1,0)</f>
        <v>0</v>
      </c>
    </row>
    <row r="609" spans="1:1">
      <c r="A609" s="70">
        <f>IF(ISNUMBER(SEARCH(My_Sheet!$B$8,B609)),MAX($A$1:A608)+1,0)</f>
        <v>0</v>
      </c>
    </row>
    <row r="610" spans="1:1">
      <c r="A610" s="70">
        <f>IF(ISNUMBER(SEARCH(My_Sheet!$B$8,B610)),MAX($A$1:A609)+1,0)</f>
        <v>0</v>
      </c>
    </row>
    <row r="611" spans="1:1">
      <c r="A611" s="70">
        <f>IF(ISNUMBER(SEARCH(My_Sheet!$B$8,B611)),MAX($A$1:A610)+1,0)</f>
        <v>0</v>
      </c>
    </row>
    <row r="612" spans="1:1">
      <c r="A612" s="70">
        <f>IF(ISNUMBER(SEARCH(My_Sheet!$B$8,B612)),MAX($A$1:A611)+1,0)</f>
        <v>0</v>
      </c>
    </row>
    <row r="613" spans="1:1">
      <c r="A613" s="70">
        <f>IF(ISNUMBER(SEARCH(My_Sheet!$B$8,B613)),MAX($A$1:A612)+1,0)</f>
        <v>0</v>
      </c>
    </row>
    <row r="614" spans="1:1">
      <c r="A614" s="70">
        <f>IF(ISNUMBER(SEARCH(My_Sheet!$B$8,B614)),MAX($A$1:A613)+1,0)</f>
        <v>0</v>
      </c>
    </row>
    <row r="615" spans="1:1">
      <c r="A615" s="70">
        <f>IF(ISNUMBER(SEARCH(My_Sheet!$B$8,B615)),MAX($A$1:A614)+1,0)</f>
        <v>0</v>
      </c>
    </row>
    <row r="616" spans="1:1">
      <c r="A616" s="70">
        <f>IF(ISNUMBER(SEARCH(My_Sheet!$B$8,B616)),MAX($A$1:A615)+1,0)</f>
        <v>0</v>
      </c>
    </row>
    <row r="617" spans="1:1">
      <c r="A617" s="70">
        <f>IF(ISNUMBER(SEARCH(My_Sheet!$B$8,B617)),MAX($A$1:A616)+1,0)</f>
        <v>0</v>
      </c>
    </row>
    <row r="618" spans="1:1">
      <c r="A618" s="70">
        <f>IF(ISNUMBER(SEARCH(My_Sheet!$B$8,B618)),MAX($A$1:A617)+1,0)</f>
        <v>0</v>
      </c>
    </row>
    <row r="619" spans="1:1">
      <c r="A619" s="70">
        <f>IF(ISNUMBER(SEARCH(My_Sheet!$B$8,B619)),MAX($A$1:A618)+1,0)</f>
        <v>0</v>
      </c>
    </row>
    <row r="620" spans="1:1">
      <c r="A620" s="70">
        <f>IF(ISNUMBER(SEARCH(My_Sheet!$B$8,B620)),MAX($A$1:A619)+1,0)</f>
        <v>0</v>
      </c>
    </row>
    <row r="621" spans="1:1">
      <c r="A621" s="70">
        <f>IF(ISNUMBER(SEARCH(My_Sheet!$B$8,B621)),MAX($A$1:A620)+1,0)</f>
        <v>0</v>
      </c>
    </row>
    <row r="622" spans="1:1">
      <c r="A622" s="70">
        <f>IF(ISNUMBER(SEARCH(My_Sheet!$B$8,B622)),MAX($A$1:A621)+1,0)</f>
        <v>0</v>
      </c>
    </row>
    <row r="623" spans="1:1">
      <c r="A623" s="70">
        <f>IF(ISNUMBER(SEARCH(My_Sheet!$B$8,B623)),MAX($A$1:A622)+1,0)</f>
        <v>0</v>
      </c>
    </row>
    <row r="624" spans="1:1">
      <c r="A624" s="70">
        <f>IF(ISNUMBER(SEARCH(My_Sheet!$B$8,B624)),MAX($A$1:A623)+1,0)</f>
        <v>0</v>
      </c>
    </row>
    <row r="625" spans="1:1">
      <c r="A625" s="70">
        <f>IF(ISNUMBER(SEARCH(My_Sheet!$B$8,B625)),MAX($A$1:A624)+1,0)</f>
        <v>0</v>
      </c>
    </row>
    <row r="626" spans="1:1">
      <c r="A626" s="70">
        <f>IF(ISNUMBER(SEARCH(My_Sheet!$B$8,B626)),MAX($A$1:A625)+1,0)</f>
        <v>0</v>
      </c>
    </row>
    <row r="627" spans="1:1">
      <c r="A627" s="70">
        <f>IF(ISNUMBER(SEARCH(My_Sheet!$B$8,B627)),MAX($A$1:A626)+1,0)</f>
        <v>0</v>
      </c>
    </row>
    <row r="628" spans="1:1">
      <c r="A628" s="70">
        <f>IF(ISNUMBER(SEARCH(My_Sheet!$B$8,B628)),MAX($A$1:A627)+1,0)</f>
        <v>0</v>
      </c>
    </row>
    <row r="629" spans="1:1">
      <c r="A629" s="70">
        <f>IF(ISNUMBER(SEARCH(My_Sheet!$B$8,B629)),MAX($A$1:A628)+1,0)</f>
        <v>0</v>
      </c>
    </row>
    <row r="630" spans="1:1">
      <c r="A630" s="70">
        <f>IF(ISNUMBER(SEARCH(My_Sheet!$B$8,B630)),MAX($A$1:A629)+1,0)</f>
        <v>0</v>
      </c>
    </row>
    <row r="631" spans="1:1">
      <c r="A631" s="70">
        <f>IF(ISNUMBER(SEARCH(My_Sheet!$B$8,B631)),MAX($A$1:A630)+1,0)</f>
        <v>0</v>
      </c>
    </row>
    <row r="632" spans="1:1">
      <c r="A632" s="70">
        <f>IF(ISNUMBER(SEARCH(My_Sheet!$B$8,B632)),MAX($A$1:A631)+1,0)</f>
        <v>0</v>
      </c>
    </row>
    <row r="633" spans="1:1">
      <c r="A633" s="70">
        <f>IF(ISNUMBER(SEARCH(My_Sheet!$B$8,B633)),MAX($A$1:A632)+1,0)</f>
        <v>0</v>
      </c>
    </row>
    <row r="634" spans="1:1">
      <c r="A634" s="70">
        <f>IF(ISNUMBER(SEARCH(My_Sheet!$B$8,B634)),MAX($A$1:A633)+1,0)</f>
        <v>0</v>
      </c>
    </row>
    <row r="635" spans="1:1">
      <c r="A635" s="70">
        <f>IF(ISNUMBER(SEARCH(My_Sheet!$B$8,B635)),MAX($A$1:A634)+1,0)</f>
        <v>0</v>
      </c>
    </row>
    <row r="636" spans="1:1">
      <c r="A636" s="70">
        <f>IF(ISNUMBER(SEARCH(My_Sheet!$B$8,B636)),MAX($A$1:A635)+1,0)</f>
        <v>0</v>
      </c>
    </row>
    <row r="637" spans="1:1">
      <c r="A637" s="70">
        <f>IF(ISNUMBER(SEARCH(My_Sheet!$B$8,B637)),MAX($A$1:A636)+1,0)</f>
        <v>0</v>
      </c>
    </row>
    <row r="638" spans="1:1">
      <c r="A638" s="70">
        <f>IF(ISNUMBER(SEARCH(My_Sheet!$B$8,B638)),MAX($A$1:A637)+1,0)</f>
        <v>0</v>
      </c>
    </row>
    <row r="639" spans="1:1">
      <c r="A639" s="70">
        <f>IF(ISNUMBER(SEARCH(My_Sheet!$B$8,B639)),MAX($A$1:A638)+1,0)</f>
        <v>0</v>
      </c>
    </row>
    <row r="640" spans="1:1">
      <c r="A640" s="70">
        <f>IF(ISNUMBER(SEARCH(My_Sheet!$B$8,B640)),MAX($A$1:A639)+1,0)</f>
        <v>0</v>
      </c>
    </row>
    <row r="641" spans="1:1">
      <c r="A641" s="70">
        <f>IF(ISNUMBER(SEARCH(My_Sheet!$B$8,B641)),MAX($A$1:A640)+1,0)</f>
        <v>0</v>
      </c>
    </row>
    <row r="642" spans="1:1">
      <c r="A642" s="70">
        <f>IF(ISNUMBER(SEARCH(My_Sheet!$B$8,B642)),MAX($A$1:A641)+1,0)</f>
        <v>0</v>
      </c>
    </row>
    <row r="643" spans="1:1">
      <c r="A643" s="70">
        <f>IF(ISNUMBER(SEARCH(My_Sheet!$B$8,B643)),MAX($A$1:A642)+1,0)</f>
        <v>0</v>
      </c>
    </row>
    <row r="644" spans="1:1">
      <c r="A644" s="70">
        <f>IF(ISNUMBER(SEARCH(My_Sheet!$B$8,B644)),MAX($A$1:A643)+1,0)</f>
        <v>0</v>
      </c>
    </row>
    <row r="645" spans="1:1">
      <c r="A645" s="70">
        <f>IF(ISNUMBER(SEARCH(My_Sheet!$B$8,B645)),MAX($A$1:A644)+1,0)</f>
        <v>0</v>
      </c>
    </row>
    <row r="646" spans="1:1">
      <c r="A646" s="70">
        <f>IF(ISNUMBER(SEARCH(My_Sheet!$B$8,B646)),MAX($A$1:A645)+1,0)</f>
        <v>0</v>
      </c>
    </row>
    <row r="647" spans="1:1">
      <c r="A647" s="70">
        <f>IF(ISNUMBER(SEARCH(My_Sheet!$B$8,B647)),MAX($A$1:A646)+1,0)</f>
        <v>0</v>
      </c>
    </row>
    <row r="648" spans="1:1">
      <c r="A648" s="70">
        <f>IF(ISNUMBER(SEARCH(My_Sheet!$B$8,B648)),MAX($A$1:A647)+1,0)</f>
        <v>0</v>
      </c>
    </row>
    <row r="649" spans="1:1">
      <c r="A649" s="70">
        <f>IF(ISNUMBER(SEARCH(My_Sheet!$B$8,B649)),MAX($A$1:A648)+1,0)</f>
        <v>0</v>
      </c>
    </row>
    <row r="650" spans="1:1">
      <c r="A650" s="70">
        <f>IF(ISNUMBER(SEARCH(My_Sheet!$B$8,B650)),MAX($A$1:A649)+1,0)</f>
        <v>0</v>
      </c>
    </row>
    <row r="651" spans="1:1">
      <c r="A651" s="70">
        <f>IF(ISNUMBER(SEARCH(My_Sheet!$B$8,B651)),MAX($A$1:A650)+1,0)</f>
        <v>0</v>
      </c>
    </row>
    <row r="652" spans="1:1">
      <c r="A652" s="70">
        <f>IF(ISNUMBER(SEARCH(My_Sheet!$B$8,B652)),MAX($A$1:A651)+1,0)</f>
        <v>0</v>
      </c>
    </row>
    <row r="653" spans="1:1">
      <c r="A653" s="70">
        <f>IF(ISNUMBER(SEARCH(My_Sheet!$B$8,B653)),MAX($A$1:A652)+1,0)</f>
        <v>0</v>
      </c>
    </row>
    <row r="654" spans="1:1">
      <c r="A654" s="70">
        <f>IF(ISNUMBER(SEARCH(My_Sheet!$B$8,B654)),MAX($A$1:A653)+1,0)</f>
        <v>0</v>
      </c>
    </row>
    <row r="655" spans="1:1">
      <c r="A655" s="70">
        <f>IF(ISNUMBER(SEARCH(My_Sheet!$B$8,B655)),MAX($A$1:A654)+1,0)</f>
        <v>0</v>
      </c>
    </row>
    <row r="656" spans="1:1">
      <c r="A656" s="70">
        <f>IF(ISNUMBER(SEARCH(My_Sheet!$B$8,B656)),MAX($A$1:A655)+1,0)</f>
        <v>0</v>
      </c>
    </row>
    <row r="657" spans="1:1">
      <c r="A657" s="70">
        <f>IF(ISNUMBER(SEARCH(My_Sheet!$B$8,B657)),MAX($A$1:A656)+1,0)</f>
        <v>0</v>
      </c>
    </row>
    <row r="658" spans="1:1">
      <c r="A658" s="70">
        <f>IF(ISNUMBER(SEARCH(My_Sheet!$B$8,B658)),MAX($A$1:A657)+1,0)</f>
        <v>0</v>
      </c>
    </row>
    <row r="659" spans="1:1">
      <c r="A659" s="70">
        <f>IF(ISNUMBER(SEARCH(My_Sheet!$B$8,B659)),MAX($A$1:A658)+1,0)</f>
        <v>0</v>
      </c>
    </row>
    <row r="660" spans="1:1">
      <c r="A660" s="70">
        <f>IF(ISNUMBER(SEARCH(My_Sheet!$B$8,B660)),MAX($A$1:A659)+1,0)</f>
        <v>0</v>
      </c>
    </row>
    <row r="661" spans="1:1">
      <c r="A661" s="70">
        <f>IF(ISNUMBER(SEARCH(My_Sheet!$B$8,B661)),MAX($A$1:A660)+1,0)</f>
        <v>0</v>
      </c>
    </row>
    <row r="662" spans="1:1">
      <c r="A662" s="70">
        <f>IF(ISNUMBER(SEARCH(My_Sheet!$B$8,B662)),MAX($A$1:A661)+1,0)</f>
        <v>0</v>
      </c>
    </row>
    <row r="663" spans="1:1">
      <c r="A663" s="70">
        <f>IF(ISNUMBER(SEARCH(My_Sheet!$B$8,B663)),MAX($A$1:A662)+1,0)</f>
        <v>0</v>
      </c>
    </row>
    <row r="664" spans="1:1">
      <c r="A664" s="70">
        <f>IF(ISNUMBER(SEARCH(My_Sheet!$B$8,B664)),MAX($A$1:A663)+1,0)</f>
        <v>0</v>
      </c>
    </row>
    <row r="665" spans="1:1">
      <c r="A665" s="70">
        <f>IF(ISNUMBER(SEARCH(My_Sheet!$B$8,B665)),MAX($A$1:A664)+1,0)</f>
        <v>0</v>
      </c>
    </row>
    <row r="666" spans="1:1">
      <c r="A666" s="70">
        <f>IF(ISNUMBER(SEARCH(My_Sheet!$B$8,B666)),MAX($A$1:A665)+1,0)</f>
        <v>0</v>
      </c>
    </row>
    <row r="667" spans="1:1">
      <c r="A667" s="70">
        <f>IF(ISNUMBER(SEARCH(My_Sheet!$B$8,B667)),MAX($A$1:A666)+1,0)</f>
        <v>0</v>
      </c>
    </row>
    <row r="668" spans="1:1">
      <c r="A668" s="70">
        <f>IF(ISNUMBER(SEARCH(My_Sheet!$B$8,B668)),MAX($A$1:A667)+1,0)</f>
        <v>0</v>
      </c>
    </row>
    <row r="669" spans="1:1">
      <c r="A669" s="70">
        <f>IF(ISNUMBER(SEARCH(My_Sheet!$B$8,B669)),MAX($A$1:A668)+1,0)</f>
        <v>0</v>
      </c>
    </row>
    <row r="670" spans="1:1">
      <c r="A670" s="70">
        <f>IF(ISNUMBER(SEARCH(My_Sheet!$B$8,B670)),MAX($A$1:A669)+1,0)</f>
        <v>0</v>
      </c>
    </row>
    <row r="671" spans="1:1">
      <c r="A671" s="70">
        <f>IF(ISNUMBER(SEARCH(My_Sheet!$B$8,B671)),MAX($A$1:A670)+1,0)</f>
        <v>0</v>
      </c>
    </row>
    <row r="672" spans="1:1">
      <c r="A672" s="70">
        <f>IF(ISNUMBER(SEARCH(My_Sheet!$B$8,B672)),MAX($A$1:A671)+1,0)</f>
        <v>0</v>
      </c>
    </row>
    <row r="673" spans="1:1">
      <c r="A673" s="70">
        <f>IF(ISNUMBER(SEARCH(My_Sheet!$B$8,B673)),MAX($A$1:A672)+1,0)</f>
        <v>0</v>
      </c>
    </row>
    <row r="674" spans="1:1">
      <c r="A674" s="70">
        <f>IF(ISNUMBER(SEARCH(My_Sheet!$B$8,B674)),MAX($A$1:A673)+1,0)</f>
        <v>0</v>
      </c>
    </row>
    <row r="675" spans="1:1">
      <c r="A675" s="70">
        <f>IF(ISNUMBER(SEARCH(My_Sheet!$B$8,B675)),MAX($A$1:A674)+1,0)</f>
        <v>0</v>
      </c>
    </row>
    <row r="676" spans="1:1">
      <c r="A676" s="70">
        <f>IF(ISNUMBER(SEARCH(My_Sheet!$B$8,B676)),MAX($A$1:A675)+1,0)</f>
        <v>0</v>
      </c>
    </row>
    <row r="677" spans="1:1">
      <c r="A677" s="70">
        <f>IF(ISNUMBER(SEARCH(My_Sheet!$B$8,B677)),MAX($A$1:A676)+1,0)</f>
        <v>0</v>
      </c>
    </row>
    <row r="678" spans="1:1">
      <c r="A678" s="70">
        <f>IF(ISNUMBER(SEARCH(My_Sheet!$B$8,B678)),MAX($A$1:A677)+1,0)</f>
        <v>0</v>
      </c>
    </row>
    <row r="679" spans="1:1">
      <c r="A679" s="70">
        <f>IF(ISNUMBER(SEARCH(My_Sheet!$B$8,B679)),MAX($A$1:A678)+1,0)</f>
        <v>0</v>
      </c>
    </row>
    <row r="680" spans="1:1">
      <c r="A680" s="70">
        <f>IF(ISNUMBER(SEARCH(My_Sheet!$B$8,B680)),MAX($A$1:A679)+1,0)</f>
        <v>0</v>
      </c>
    </row>
    <row r="681" spans="1:1">
      <c r="A681" s="70">
        <f>IF(ISNUMBER(SEARCH(My_Sheet!$B$8,B681)),MAX($A$1:A680)+1,0)</f>
        <v>0</v>
      </c>
    </row>
    <row r="682" spans="1:1">
      <c r="A682" s="70">
        <f>IF(ISNUMBER(SEARCH(My_Sheet!$B$8,B682)),MAX($A$1:A681)+1,0)</f>
        <v>0</v>
      </c>
    </row>
    <row r="683" spans="1:1">
      <c r="A683" s="70">
        <f>IF(ISNUMBER(SEARCH(My_Sheet!$B$8,B683)),MAX($A$1:A682)+1,0)</f>
        <v>0</v>
      </c>
    </row>
    <row r="684" spans="1:1">
      <c r="A684" s="70">
        <f>IF(ISNUMBER(SEARCH(My_Sheet!$B$8,B684)),MAX($A$1:A683)+1,0)</f>
        <v>0</v>
      </c>
    </row>
    <row r="685" spans="1:1">
      <c r="A685" s="70">
        <f>IF(ISNUMBER(SEARCH(My_Sheet!$B$8,B685)),MAX($A$1:A684)+1,0)</f>
        <v>0</v>
      </c>
    </row>
    <row r="686" spans="1:1">
      <c r="A686" s="70">
        <f>IF(ISNUMBER(SEARCH(My_Sheet!$B$8,B686)),MAX($A$1:A685)+1,0)</f>
        <v>0</v>
      </c>
    </row>
    <row r="687" spans="1:1">
      <c r="A687" s="70">
        <f>IF(ISNUMBER(SEARCH(My_Sheet!$B$8,B687)),MAX($A$1:A686)+1,0)</f>
        <v>0</v>
      </c>
    </row>
    <row r="688" spans="1:1">
      <c r="A688" s="70">
        <f>IF(ISNUMBER(SEARCH(My_Sheet!$B$8,B688)),MAX($A$1:A687)+1,0)</f>
        <v>0</v>
      </c>
    </row>
    <row r="689" spans="1:1">
      <c r="A689" s="70">
        <f>IF(ISNUMBER(SEARCH(My_Sheet!$B$8,B689)),MAX($A$1:A688)+1,0)</f>
        <v>0</v>
      </c>
    </row>
    <row r="690" spans="1:1">
      <c r="A690" s="70">
        <f>IF(ISNUMBER(SEARCH(My_Sheet!$B$8,B690)),MAX($A$1:A689)+1,0)</f>
        <v>0</v>
      </c>
    </row>
    <row r="691" spans="1:1">
      <c r="A691" s="70">
        <f>IF(ISNUMBER(SEARCH(My_Sheet!$B$8,B691)),MAX($A$1:A690)+1,0)</f>
        <v>0</v>
      </c>
    </row>
    <row r="692" spans="1:1">
      <c r="A692" s="70">
        <f>IF(ISNUMBER(SEARCH(My_Sheet!$B$8,B692)),MAX($A$1:A691)+1,0)</f>
        <v>0</v>
      </c>
    </row>
    <row r="693" spans="1:1">
      <c r="A693" s="70">
        <f>IF(ISNUMBER(SEARCH(My_Sheet!$B$8,B693)),MAX($A$1:A692)+1,0)</f>
        <v>0</v>
      </c>
    </row>
    <row r="694" spans="1:1">
      <c r="A694" s="70">
        <f>IF(ISNUMBER(SEARCH(My_Sheet!$B$8,B694)),MAX($A$1:A693)+1,0)</f>
        <v>0</v>
      </c>
    </row>
    <row r="695" spans="1:1">
      <c r="A695" s="70">
        <f>IF(ISNUMBER(SEARCH(My_Sheet!$B$8,B695)),MAX($A$1:A694)+1,0)</f>
        <v>0</v>
      </c>
    </row>
    <row r="696" spans="1:1">
      <c r="A696" s="70">
        <f>IF(ISNUMBER(SEARCH(My_Sheet!$B$8,B696)),MAX($A$1:A695)+1,0)</f>
        <v>0</v>
      </c>
    </row>
    <row r="697" spans="1:1">
      <c r="A697" s="70">
        <f>IF(ISNUMBER(SEARCH(My_Sheet!$B$8,B697)),MAX($A$1:A696)+1,0)</f>
        <v>0</v>
      </c>
    </row>
    <row r="698" spans="1:1">
      <c r="A698" s="70">
        <f>IF(ISNUMBER(SEARCH(My_Sheet!$B$8,B698)),MAX($A$1:A697)+1,0)</f>
        <v>0</v>
      </c>
    </row>
    <row r="699" spans="1:1">
      <c r="A699" s="70">
        <f>IF(ISNUMBER(SEARCH(My_Sheet!$B$8,B699)),MAX($A$1:A698)+1,0)</f>
        <v>0</v>
      </c>
    </row>
    <row r="700" spans="1:1">
      <c r="A700" s="70">
        <f>IF(ISNUMBER(SEARCH(My_Sheet!$B$8,B700)),MAX($A$1:A699)+1,0)</f>
        <v>0</v>
      </c>
    </row>
    <row r="701" spans="1:1">
      <c r="A701" s="70">
        <f>IF(ISNUMBER(SEARCH(My_Sheet!$B$8,B701)),MAX($A$1:A700)+1,0)</f>
        <v>0</v>
      </c>
    </row>
    <row r="702" spans="1:1">
      <c r="A702" s="70">
        <f>IF(ISNUMBER(SEARCH(My_Sheet!$B$8,B702)),MAX($A$1:A701)+1,0)</f>
        <v>0</v>
      </c>
    </row>
    <row r="703" spans="1:1">
      <c r="A703" s="70">
        <f>IF(ISNUMBER(SEARCH(My_Sheet!$B$8,B703)),MAX($A$1:A702)+1,0)</f>
        <v>0</v>
      </c>
    </row>
    <row r="704" spans="1:1">
      <c r="A704" s="70">
        <f>IF(ISNUMBER(SEARCH(My_Sheet!$B$8,B704)),MAX($A$1:A703)+1,0)</f>
        <v>0</v>
      </c>
    </row>
    <row r="705" spans="1:1">
      <c r="A705" s="70">
        <f>IF(ISNUMBER(SEARCH(My_Sheet!$B$8,B705)),MAX($A$1:A704)+1,0)</f>
        <v>0</v>
      </c>
    </row>
    <row r="706" spans="1:1">
      <c r="A706" s="70">
        <f>IF(ISNUMBER(SEARCH(My_Sheet!$B$8,B706)),MAX($A$1:A705)+1,0)</f>
        <v>0</v>
      </c>
    </row>
    <row r="707" spans="1:1">
      <c r="A707" s="70">
        <f>IF(ISNUMBER(SEARCH(My_Sheet!$B$8,B707)),MAX($A$1:A706)+1,0)</f>
        <v>0</v>
      </c>
    </row>
    <row r="708" spans="1:1">
      <c r="A708" s="70">
        <f>IF(ISNUMBER(SEARCH(My_Sheet!$B$8,B708)),MAX($A$1:A707)+1,0)</f>
        <v>0</v>
      </c>
    </row>
    <row r="709" spans="1:1">
      <c r="A709" s="70">
        <f>IF(ISNUMBER(SEARCH(My_Sheet!$B$8,B709)),MAX($A$1:A708)+1,0)</f>
        <v>0</v>
      </c>
    </row>
    <row r="710" spans="1:1">
      <c r="A710" s="70">
        <f>IF(ISNUMBER(SEARCH(My_Sheet!$B$8,B710)),MAX($A$1:A709)+1,0)</f>
        <v>0</v>
      </c>
    </row>
    <row r="711" spans="1:1">
      <c r="A711" s="70">
        <f>IF(ISNUMBER(SEARCH(My_Sheet!$B$8,B711)),MAX($A$1:A710)+1,0)</f>
        <v>0</v>
      </c>
    </row>
    <row r="712" spans="1:1">
      <c r="A712" s="70">
        <f>IF(ISNUMBER(SEARCH(My_Sheet!$B$8,B712)),MAX($A$1:A711)+1,0)</f>
        <v>0</v>
      </c>
    </row>
    <row r="713" spans="1:1">
      <c r="A713" s="70">
        <f>IF(ISNUMBER(SEARCH(My_Sheet!$B$8,B713)),MAX($A$1:A712)+1,0)</f>
        <v>0</v>
      </c>
    </row>
    <row r="714" spans="1:1">
      <c r="A714" s="70">
        <f>IF(ISNUMBER(SEARCH(My_Sheet!$B$8,B714)),MAX($A$1:A713)+1,0)</f>
        <v>0</v>
      </c>
    </row>
    <row r="715" spans="1:1">
      <c r="A715" s="70">
        <f>IF(ISNUMBER(SEARCH(My_Sheet!$B$8,B715)),MAX($A$1:A714)+1,0)</f>
        <v>0</v>
      </c>
    </row>
    <row r="716" spans="1:1">
      <c r="A716" s="70">
        <f>IF(ISNUMBER(SEARCH(My_Sheet!$B$8,B716)),MAX($A$1:A715)+1,0)</f>
        <v>0</v>
      </c>
    </row>
    <row r="717" spans="1:1">
      <c r="A717" s="70">
        <f>IF(ISNUMBER(SEARCH(My_Sheet!$B$8,B717)),MAX($A$1:A716)+1,0)</f>
        <v>0</v>
      </c>
    </row>
    <row r="718" spans="1:1">
      <c r="A718" s="70">
        <f>IF(ISNUMBER(SEARCH(My_Sheet!$B$8,B718)),MAX($A$1:A717)+1,0)</f>
        <v>0</v>
      </c>
    </row>
    <row r="719" spans="1:1">
      <c r="A719" s="70">
        <f>IF(ISNUMBER(SEARCH(My_Sheet!$B$8,B719)),MAX($A$1:A718)+1,0)</f>
        <v>0</v>
      </c>
    </row>
    <row r="720" spans="1:1">
      <c r="A720" s="70">
        <f>IF(ISNUMBER(SEARCH(My_Sheet!$B$8,B720)),MAX($A$1:A719)+1,0)</f>
        <v>0</v>
      </c>
    </row>
    <row r="721" spans="1:1">
      <c r="A721" s="70">
        <f>IF(ISNUMBER(SEARCH(My_Sheet!$B$8,B721)),MAX($A$1:A720)+1,0)</f>
        <v>0</v>
      </c>
    </row>
    <row r="722" spans="1:1">
      <c r="A722" s="70">
        <f>IF(ISNUMBER(SEARCH(My_Sheet!$B$8,B722)),MAX($A$1:A721)+1,0)</f>
        <v>0</v>
      </c>
    </row>
    <row r="723" spans="1:1">
      <c r="A723" s="70">
        <f>IF(ISNUMBER(SEARCH(My_Sheet!$B$8,B723)),MAX($A$1:A722)+1,0)</f>
        <v>0</v>
      </c>
    </row>
    <row r="724" spans="1:1">
      <c r="A724" s="70">
        <f>IF(ISNUMBER(SEARCH(My_Sheet!$B$8,B724)),MAX($A$1:A723)+1,0)</f>
        <v>0</v>
      </c>
    </row>
    <row r="725" spans="1:1">
      <c r="A725" s="70">
        <f>IF(ISNUMBER(SEARCH(My_Sheet!$B$8,B725)),MAX($A$1:A724)+1,0)</f>
        <v>0</v>
      </c>
    </row>
    <row r="726" spans="1:1">
      <c r="A726" s="70">
        <f>IF(ISNUMBER(SEARCH(My_Sheet!$B$8,B726)),MAX($A$1:A725)+1,0)</f>
        <v>0</v>
      </c>
    </row>
    <row r="727" spans="1:1">
      <c r="A727" s="70">
        <f>IF(ISNUMBER(SEARCH(My_Sheet!$B$8,B727)),MAX($A$1:A726)+1,0)</f>
        <v>0</v>
      </c>
    </row>
    <row r="728" spans="1:1">
      <c r="A728" s="70">
        <f>IF(ISNUMBER(SEARCH(My_Sheet!$B$8,B728)),MAX($A$1:A727)+1,0)</f>
        <v>0</v>
      </c>
    </row>
    <row r="729" spans="1:1">
      <c r="A729" s="70">
        <f>IF(ISNUMBER(SEARCH(My_Sheet!$B$8,B729)),MAX($A$1:A728)+1,0)</f>
        <v>0</v>
      </c>
    </row>
    <row r="730" spans="1:1">
      <c r="A730" s="70">
        <f>IF(ISNUMBER(SEARCH(My_Sheet!$B$8,B730)),MAX($A$1:A729)+1,0)</f>
        <v>0</v>
      </c>
    </row>
    <row r="731" spans="1:1">
      <c r="A731" s="70">
        <f>IF(ISNUMBER(SEARCH(My_Sheet!$B$8,B731)),MAX($A$1:A730)+1,0)</f>
        <v>0</v>
      </c>
    </row>
    <row r="732" spans="1:1">
      <c r="A732" s="70">
        <f>IF(ISNUMBER(SEARCH(My_Sheet!$B$8,B732)),MAX($A$1:A731)+1,0)</f>
        <v>0</v>
      </c>
    </row>
    <row r="733" spans="1:1">
      <c r="A733" s="70">
        <f>IF(ISNUMBER(SEARCH(My_Sheet!$B$8,B733)),MAX($A$1:A732)+1,0)</f>
        <v>0</v>
      </c>
    </row>
    <row r="734" spans="1:1">
      <c r="A734" s="70">
        <f>IF(ISNUMBER(SEARCH(My_Sheet!$B$8,B734)),MAX($A$1:A733)+1,0)</f>
        <v>0</v>
      </c>
    </row>
    <row r="735" spans="1:1">
      <c r="A735" s="70">
        <f>IF(ISNUMBER(SEARCH(My_Sheet!$B$8,B735)),MAX($A$1:A734)+1,0)</f>
        <v>0</v>
      </c>
    </row>
    <row r="736" spans="1:1">
      <c r="A736" s="70">
        <f>IF(ISNUMBER(SEARCH(My_Sheet!$B$8,B736)),MAX($A$1:A735)+1,0)</f>
        <v>0</v>
      </c>
    </row>
    <row r="737" spans="1:1">
      <c r="A737" s="70">
        <f>IF(ISNUMBER(SEARCH(My_Sheet!$B$8,B737)),MAX($A$1:A736)+1,0)</f>
        <v>0</v>
      </c>
    </row>
    <row r="738" spans="1:1">
      <c r="A738" s="70">
        <f>IF(ISNUMBER(SEARCH(My_Sheet!$B$8,B738)),MAX($A$1:A737)+1,0)</f>
        <v>0</v>
      </c>
    </row>
    <row r="739" spans="1:1">
      <c r="A739" s="70">
        <f>IF(ISNUMBER(SEARCH(My_Sheet!$B$8,B739)),MAX($A$1:A738)+1,0)</f>
        <v>0</v>
      </c>
    </row>
    <row r="740" spans="1:1">
      <c r="A740" s="70">
        <f>IF(ISNUMBER(SEARCH(My_Sheet!$B$8,B740)),MAX($A$1:A739)+1,0)</f>
        <v>0</v>
      </c>
    </row>
    <row r="741" spans="1:1">
      <c r="A741" s="70">
        <f>IF(ISNUMBER(SEARCH(My_Sheet!$B$8,B741)),MAX($A$1:A740)+1,0)</f>
        <v>0</v>
      </c>
    </row>
    <row r="742" spans="1:1">
      <c r="A742" s="70">
        <f>IF(ISNUMBER(SEARCH(My_Sheet!$B$8,B742)),MAX($A$1:A741)+1,0)</f>
        <v>0</v>
      </c>
    </row>
    <row r="743" spans="1:1">
      <c r="A743" s="70">
        <f>IF(ISNUMBER(SEARCH(My_Sheet!$B$8,B743)),MAX($A$1:A742)+1,0)</f>
        <v>0</v>
      </c>
    </row>
    <row r="744" spans="1:1">
      <c r="A744" s="70">
        <f>IF(ISNUMBER(SEARCH(My_Sheet!$B$8,B744)),MAX($A$1:A743)+1,0)</f>
        <v>0</v>
      </c>
    </row>
    <row r="745" spans="1:1">
      <c r="A745" s="70">
        <f>IF(ISNUMBER(SEARCH(My_Sheet!$B$8,B745)),MAX($A$1:A744)+1,0)</f>
        <v>0</v>
      </c>
    </row>
    <row r="746" spans="1:1">
      <c r="A746" s="70">
        <f>IF(ISNUMBER(SEARCH(My_Sheet!$B$8,B746)),MAX($A$1:A745)+1,0)</f>
        <v>0</v>
      </c>
    </row>
    <row r="747" spans="1:1">
      <c r="A747" s="70">
        <f>IF(ISNUMBER(SEARCH(My_Sheet!$B$8,B747)),MAX($A$1:A746)+1,0)</f>
        <v>0</v>
      </c>
    </row>
    <row r="748" spans="1:1">
      <c r="A748" s="70">
        <f>IF(ISNUMBER(SEARCH(My_Sheet!$B$8,B748)),MAX($A$1:A747)+1,0)</f>
        <v>0</v>
      </c>
    </row>
    <row r="749" spans="1:1">
      <c r="A749" s="70">
        <f>IF(ISNUMBER(SEARCH(My_Sheet!$B$8,B749)),MAX($A$1:A748)+1,0)</f>
        <v>0</v>
      </c>
    </row>
    <row r="750" spans="1:1">
      <c r="A750" s="70">
        <f>IF(ISNUMBER(SEARCH(My_Sheet!$B$8,B750)),MAX($A$1:A749)+1,0)</f>
        <v>0</v>
      </c>
    </row>
    <row r="751" spans="1:1">
      <c r="A751" s="70">
        <f>IF(ISNUMBER(SEARCH(My_Sheet!$B$8,B751)),MAX($A$1:A750)+1,0)</f>
        <v>0</v>
      </c>
    </row>
    <row r="752" spans="1:1">
      <c r="A752" s="70">
        <f>IF(ISNUMBER(SEARCH(My_Sheet!$B$8,B752)),MAX($A$1:A751)+1,0)</f>
        <v>0</v>
      </c>
    </row>
    <row r="753" spans="1:1">
      <c r="A753" s="70">
        <f>IF(ISNUMBER(SEARCH(My_Sheet!$B$8,B753)),MAX($A$1:A752)+1,0)</f>
        <v>0</v>
      </c>
    </row>
    <row r="754" spans="1:1">
      <c r="A754" s="70">
        <f>IF(ISNUMBER(SEARCH(My_Sheet!$B$8,B754)),MAX($A$1:A753)+1,0)</f>
        <v>0</v>
      </c>
    </row>
    <row r="755" spans="1:1">
      <c r="A755" s="70">
        <f>IF(ISNUMBER(SEARCH(My_Sheet!$B$8,B755)),MAX($A$1:A754)+1,0)</f>
        <v>0</v>
      </c>
    </row>
    <row r="756" spans="1:1">
      <c r="A756" s="70">
        <f>IF(ISNUMBER(SEARCH(My_Sheet!$B$8,B756)),MAX($A$1:A755)+1,0)</f>
        <v>0</v>
      </c>
    </row>
    <row r="757" spans="1:1">
      <c r="A757" s="70">
        <f>IF(ISNUMBER(SEARCH(My_Sheet!$B$8,B757)),MAX($A$1:A756)+1,0)</f>
        <v>0</v>
      </c>
    </row>
    <row r="758" spans="1:1">
      <c r="A758" s="70">
        <f>IF(ISNUMBER(SEARCH(My_Sheet!$B$8,B758)),MAX($A$1:A757)+1,0)</f>
        <v>0</v>
      </c>
    </row>
    <row r="759" spans="1:1">
      <c r="A759" s="70">
        <f>IF(ISNUMBER(SEARCH(My_Sheet!$B$8,B759)),MAX($A$1:A758)+1,0)</f>
        <v>0</v>
      </c>
    </row>
    <row r="760" spans="1:1">
      <c r="A760" s="70">
        <f>IF(ISNUMBER(SEARCH(My_Sheet!$B$8,B760)),MAX($A$1:A759)+1,0)</f>
        <v>0</v>
      </c>
    </row>
    <row r="761" spans="1:1">
      <c r="A761" s="70">
        <f>IF(ISNUMBER(SEARCH(My_Sheet!$B$8,B761)),MAX($A$1:A760)+1,0)</f>
        <v>0</v>
      </c>
    </row>
    <row r="762" spans="1:1">
      <c r="A762" s="70">
        <f>IF(ISNUMBER(SEARCH(My_Sheet!$B$8,B762)),MAX($A$1:A761)+1,0)</f>
        <v>0</v>
      </c>
    </row>
    <row r="763" spans="1:1">
      <c r="A763" s="70">
        <f>IF(ISNUMBER(SEARCH(My_Sheet!$B$8,B763)),MAX($A$1:A762)+1,0)</f>
        <v>0</v>
      </c>
    </row>
    <row r="764" spans="1:1">
      <c r="A764" s="70">
        <f>IF(ISNUMBER(SEARCH(My_Sheet!$B$8,B764)),MAX($A$1:A763)+1,0)</f>
        <v>0</v>
      </c>
    </row>
    <row r="765" spans="1:1">
      <c r="A765" s="70">
        <f>IF(ISNUMBER(SEARCH(My_Sheet!$B$8,B765)),MAX($A$1:A764)+1,0)</f>
        <v>0</v>
      </c>
    </row>
    <row r="766" spans="1:1">
      <c r="A766" s="70">
        <f>IF(ISNUMBER(SEARCH(My_Sheet!$B$8,B766)),MAX($A$1:A765)+1,0)</f>
        <v>0</v>
      </c>
    </row>
    <row r="767" spans="1:1">
      <c r="A767" s="70">
        <f>IF(ISNUMBER(SEARCH(My_Sheet!$B$8,B767)),MAX($A$1:A766)+1,0)</f>
        <v>0</v>
      </c>
    </row>
    <row r="768" spans="1:1">
      <c r="A768" s="70">
        <f>IF(ISNUMBER(SEARCH(My_Sheet!$B$8,B768)),MAX($A$1:A767)+1,0)</f>
        <v>0</v>
      </c>
    </row>
    <row r="769" spans="1:1">
      <c r="A769" s="70">
        <f>IF(ISNUMBER(SEARCH(My_Sheet!$B$8,B769)),MAX($A$1:A768)+1,0)</f>
        <v>0</v>
      </c>
    </row>
    <row r="770" spans="1:1">
      <c r="A770" s="70">
        <f>IF(ISNUMBER(SEARCH(My_Sheet!$B$8,B770)),MAX($A$1:A769)+1,0)</f>
        <v>0</v>
      </c>
    </row>
    <row r="771" spans="1:1">
      <c r="A771" s="70">
        <f>IF(ISNUMBER(SEARCH(My_Sheet!$B$8,B771)),MAX($A$1:A770)+1,0)</f>
        <v>0</v>
      </c>
    </row>
    <row r="772" spans="1:1">
      <c r="A772" s="70">
        <f>IF(ISNUMBER(SEARCH(My_Sheet!$B$8,B772)),MAX($A$1:A771)+1,0)</f>
        <v>0</v>
      </c>
    </row>
    <row r="773" spans="1:1">
      <c r="A773" s="70">
        <f>IF(ISNUMBER(SEARCH(My_Sheet!$B$8,B773)),MAX($A$1:A772)+1,0)</f>
        <v>0</v>
      </c>
    </row>
    <row r="774" spans="1:1">
      <c r="A774" s="70">
        <f>IF(ISNUMBER(SEARCH(My_Sheet!$B$8,B774)),MAX($A$1:A773)+1,0)</f>
        <v>0</v>
      </c>
    </row>
    <row r="775" spans="1:1">
      <c r="A775" s="70">
        <f>IF(ISNUMBER(SEARCH(My_Sheet!$B$8,B775)),MAX($A$1:A774)+1,0)</f>
        <v>0</v>
      </c>
    </row>
    <row r="776" spans="1:1">
      <c r="A776" s="70">
        <f>IF(ISNUMBER(SEARCH(My_Sheet!$B$8,B776)),MAX($A$1:A775)+1,0)</f>
        <v>0</v>
      </c>
    </row>
    <row r="777" spans="1:1">
      <c r="A777" s="70">
        <f>IF(ISNUMBER(SEARCH(My_Sheet!$B$8,B777)),MAX($A$1:A776)+1,0)</f>
        <v>0</v>
      </c>
    </row>
    <row r="778" spans="1:1">
      <c r="A778" s="70">
        <f>IF(ISNUMBER(SEARCH(My_Sheet!$B$8,B778)),MAX($A$1:A777)+1,0)</f>
        <v>0</v>
      </c>
    </row>
    <row r="779" spans="1:1">
      <c r="A779" s="70">
        <f>IF(ISNUMBER(SEARCH(My_Sheet!$B$8,B779)),MAX($A$1:A778)+1,0)</f>
        <v>0</v>
      </c>
    </row>
    <row r="780" spans="1:1">
      <c r="A780" s="70">
        <f>IF(ISNUMBER(SEARCH(My_Sheet!$B$8,B780)),MAX($A$1:A779)+1,0)</f>
        <v>0</v>
      </c>
    </row>
    <row r="781" spans="1:1">
      <c r="A781" s="70">
        <f>IF(ISNUMBER(SEARCH(My_Sheet!$B$8,B781)),MAX($A$1:A780)+1,0)</f>
        <v>0</v>
      </c>
    </row>
    <row r="782" spans="1:1">
      <c r="A782" s="70">
        <f>IF(ISNUMBER(SEARCH(My_Sheet!$B$8,B782)),MAX($A$1:A781)+1,0)</f>
        <v>0</v>
      </c>
    </row>
    <row r="783" spans="1:1">
      <c r="A783" s="70">
        <f>IF(ISNUMBER(SEARCH(My_Sheet!$B$8,B783)),MAX($A$1:A782)+1,0)</f>
        <v>0</v>
      </c>
    </row>
    <row r="784" spans="1:1">
      <c r="A784" s="70">
        <f>IF(ISNUMBER(SEARCH(My_Sheet!$B$8,B784)),MAX($A$1:A783)+1,0)</f>
        <v>0</v>
      </c>
    </row>
    <row r="785" spans="1:1">
      <c r="A785" s="70">
        <f>IF(ISNUMBER(SEARCH(My_Sheet!$B$8,B785)),MAX($A$1:A784)+1,0)</f>
        <v>0</v>
      </c>
    </row>
    <row r="786" spans="1:1">
      <c r="A786" s="70">
        <f>IF(ISNUMBER(SEARCH(My_Sheet!$B$8,B786)),MAX($A$1:A785)+1,0)</f>
        <v>0</v>
      </c>
    </row>
  </sheetData>
  <pageMargins left="0.7" right="0.7" top="0.75" bottom="0.75" header="0.3" footer="0.3"/>
  <pageSetup paperSize="9" orientation="portrait" horizontalDpi="300" verticalDpi="300"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sheetPr codeName="Sheet3"/>
  <dimension ref="A1:H19"/>
  <sheetViews>
    <sheetView topLeftCell="A2" workbookViewId="0">
      <selection activeCell="A2" sqref="A2:D19"/>
    </sheetView>
  </sheetViews>
  <sheetFormatPr defaultColWidth="31.140625" defaultRowHeight="18.75"/>
  <cols>
    <col min="1" max="1" width="11.42578125" style="1" customWidth="1"/>
    <col min="2" max="2" width="49.85546875" style="1" customWidth="1"/>
    <col min="3" max="4" width="31.140625" style="1"/>
    <col min="5" max="5" width="30.85546875" style="1" customWidth="1"/>
    <col min="6" max="16384" width="31.140625" style="1"/>
  </cols>
  <sheetData>
    <row r="1" spans="1:8">
      <c r="A1" s="1" t="s">
        <v>10</v>
      </c>
      <c r="B1" s="1" t="s">
        <v>11</v>
      </c>
      <c r="C1" s="1" t="s">
        <v>12</v>
      </c>
      <c r="D1" s="1" t="s">
        <v>2</v>
      </c>
    </row>
    <row r="2" spans="1:8">
      <c r="A2" s="7">
        <v>1</v>
      </c>
      <c r="B2" s="1" t="s">
        <v>48</v>
      </c>
      <c r="C2" s="1">
        <v>9032</v>
      </c>
      <c r="D2" s="1">
        <v>950.25</v>
      </c>
      <c r="G2" s="1" t="str">
        <f>IFERROR(VLOOKUP(ROWS($G$2:G2),$A$2:$B$1048576,2,0),"")</f>
        <v>example product 1</v>
      </c>
      <c r="H2" s="1" t="str">
        <f ca="1">IFERROR(OFFSET($G$2,,,COUNTIF($G$2:$G$1048576,"?*")),"")</f>
        <v>example product 1</v>
      </c>
    </row>
    <row r="3" spans="1:8">
      <c r="A3" s="7">
        <f>A2+1</f>
        <v>2</v>
      </c>
      <c r="B3" s="1" t="s">
        <v>14</v>
      </c>
      <c r="C3" s="1">
        <v>285333</v>
      </c>
      <c r="D3" s="1">
        <v>15000</v>
      </c>
    </row>
    <row r="4" spans="1:8">
      <c r="A4" s="7">
        <f t="shared" ref="A4" si="0">A3+1</f>
        <v>3</v>
      </c>
      <c r="B4" s="1" t="s">
        <v>15</v>
      </c>
      <c r="C4" s="1">
        <v>313814</v>
      </c>
      <c r="D4" s="1">
        <v>380</v>
      </c>
    </row>
    <row r="5" spans="1:8" ht="56.25">
      <c r="A5" s="7">
        <v>4</v>
      </c>
      <c r="B5" s="1" t="s">
        <v>45</v>
      </c>
      <c r="C5" s="1">
        <v>12345</v>
      </c>
      <c r="D5" s="1">
        <v>12345</v>
      </c>
    </row>
    <row r="6" spans="1:8" ht="93.75">
      <c r="A6" s="7">
        <v>5</v>
      </c>
      <c r="B6" s="1" t="s">
        <v>46</v>
      </c>
      <c r="C6" s="1">
        <v>4321</v>
      </c>
      <c r="D6" s="1">
        <v>4321</v>
      </c>
    </row>
    <row r="7" spans="1:8">
      <c r="A7" s="7"/>
      <c r="B7" s="2"/>
      <c r="C7" s="2"/>
      <c r="D7" s="2"/>
    </row>
    <row r="8" spans="1:8">
      <c r="A8" s="7"/>
      <c r="C8" s="6"/>
      <c r="D8" s="6"/>
    </row>
    <row r="9" spans="1:8">
      <c r="A9" s="7"/>
      <c r="C9" s="6"/>
      <c r="D9" s="6"/>
    </row>
    <row r="10" spans="1:8">
      <c r="A10" s="7"/>
      <c r="C10" s="8"/>
      <c r="D10" s="8"/>
    </row>
    <row r="11" spans="1:8">
      <c r="A11" s="7"/>
      <c r="C11" s="2"/>
      <c r="D11" s="2"/>
    </row>
    <row r="12" spans="1:8">
      <c r="A12" s="7"/>
      <c r="C12" s="2"/>
      <c r="D12" s="2"/>
    </row>
    <row r="13" spans="1:8">
      <c r="A13" s="7"/>
      <c r="B13" s="2"/>
      <c r="C13" s="2"/>
      <c r="D13" s="2"/>
    </row>
    <row r="14" spans="1:8">
      <c r="A14" s="7"/>
      <c r="C14" s="2"/>
      <c r="D14" s="2"/>
    </row>
    <row r="15" spans="1:8">
      <c r="A15" s="7"/>
      <c r="C15" s="2"/>
      <c r="D15" s="2"/>
    </row>
    <row r="16" spans="1:8">
      <c r="A16" s="7"/>
      <c r="C16" s="2"/>
      <c r="D16" s="2"/>
    </row>
    <row r="17" spans="1:4">
      <c r="A17" s="7"/>
      <c r="C17" s="2"/>
      <c r="D17" s="2"/>
    </row>
    <row r="18" spans="1:4">
      <c r="A18" s="7"/>
      <c r="C18" s="2"/>
      <c r="D18" s="2"/>
    </row>
    <row r="19" spans="1:4">
      <c r="A19" s="7"/>
      <c r="B19" s="2"/>
      <c r="C19" s="2"/>
      <c r="D19" s="2"/>
    </row>
  </sheetData>
  <pageMargins left="0.7" right="0.7" top="0.75" bottom="0.75" header="0.3" footer="0.3"/>
  <pageSetup orientation="portrait"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sheetPr codeName="Sheet4"/>
  <dimension ref="A1:L38"/>
  <sheetViews>
    <sheetView zoomScale="160" zoomScaleNormal="160" workbookViewId="0">
      <selection activeCell="A2" sqref="A2:J4"/>
    </sheetView>
  </sheetViews>
  <sheetFormatPr defaultColWidth="7.85546875" defaultRowHeight="11.25"/>
  <cols>
    <col min="1" max="2" width="7.85546875" style="82"/>
    <col min="3" max="3" width="16.85546875" style="83" customWidth="1"/>
    <col min="4" max="4" width="16.28515625" style="82" customWidth="1"/>
    <col min="5" max="5" width="9.140625" style="82" customWidth="1"/>
    <col min="6" max="16384" width="7.85546875" style="82"/>
  </cols>
  <sheetData>
    <row r="1" spans="1:12" ht="33.75">
      <c r="A1" s="86" t="s">
        <v>66</v>
      </c>
      <c r="B1" s="86" t="s">
        <v>38</v>
      </c>
      <c r="C1" s="87" t="s">
        <v>37</v>
      </c>
      <c r="D1" s="86" t="s">
        <v>67</v>
      </c>
      <c r="E1" s="88" t="s">
        <v>65</v>
      </c>
      <c r="F1" s="88" t="s">
        <v>68</v>
      </c>
      <c r="G1" s="88" t="s">
        <v>69</v>
      </c>
      <c r="H1" s="88" t="s">
        <v>70</v>
      </c>
      <c r="I1" s="88" t="s">
        <v>71</v>
      </c>
      <c r="J1" s="88"/>
      <c r="K1" s="88"/>
      <c r="L1" s="88"/>
    </row>
    <row r="2" spans="1:12" ht="22.5">
      <c r="A2" s="80">
        <v>8</v>
      </c>
      <c r="B2" s="81">
        <v>43974</v>
      </c>
      <c r="C2" s="81" t="s">
        <v>63</v>
      </c>
      <c r="D2" s="80" t="s">
        <v>74</v>
      </c>
      <c r="E2" s="82">
        <v>1900</v>
      </c>
      <c r="F2" s="82">
        <v>171</v>
      </c>
      <c r="G2" s="82">
        <v>171</v>
      </c>
      <c r="H2" s="82">
        <v>0</v>
      </c>
      <c r="I2" s="82">
        <v>2242</v>
      </c>
    </row>
    <row r="3" spans="1:12" ht="22.5">
      <c r="A3" s="80">
        <v>7</v>
      </c>
      <c r="B3" s="81">
        <v>43972</v>
      </c>
      <c r="C3" s="81" t="s">
        <v>64</v>
      </c>
      <c r="D3" s="80" t="s">
        <v>73</v>
      </c>
      <c r="E3" s="82">
        <v>1900.5</v>
      </c>
      <c r="F3" s="82">
        <v>171.04499999999999</v>
      </c>
      <c r="G3" s="82">
        <v>171.04499999999999</v>
      </c>
      <c r="H3" s="82">
        <v>0</v>
      </c>
      <c r="I3" s="82">
        <v>2243</v>
      </c>
    </row>
    <row r="4" spans="1:12">
      <c r="A4" s="80"/>
      <c r="B4" s="81"/>
      <c r="C4" s="81"/>
      <c r="D4" s="80"/>
    </row>
    <row r="5" spans="1:12">
      <c r="A5" s="80"/>
      <c r="B5" s="80"/>
      <c r="C5" s="81"/>
      <c r="D5" s="80"/>
    </row>
    <row r="6" spans="1:12">
      <c r="A6" s="80"/>
      <c r="B6" s="80"/>
      <c r="C6" s="81"/>
      <c r="D6" s="80"/>
    </row>
    <row r="7" spans="1:12">
      <c r="A7" s="80"/>
      <c r="B7" s="80"/>
      <c r="C7" s="81"/>
      <c r="D7" s="80"/>
    </row>
    <row r="8" spans="1:12">
      <c r="A8" s="80"/>
      <c r="B8" s="80"/>
      <c r="C8" s="81"/>
      <c r="D8" s="80"/>
    </row>
    <row r="9" spans="1:12">
      <c r="A9" s="80"/>
      <c r="B9" s="80"/>
      <c r="C9" s="81"/>
      <c r="D9" s="80"/>
    </row>
    <row r="10" spans="1:12">
      <c r="A10" s="80"/>
      <c r="B10" s="80"/>
      <c r="C10" s="81"/>
      <c r="D10" s="80"/>
    </row>
    <row r="11" spans="1:12">
      <c r="A11" s="80"/>
      <c r="B11" s="80"/>
      <c r="C11" s="81"/>
      <c r="D11" s="80"/>
    </row>
    <row r="12" spans="1:12">
      <c r="A12" s="80"/>
      <c r="B12" s="80"/>
      <c r="C12" s="81"/>
      <c r="D12" s="80"/>
    </row>
    <row r="13" spans="1:12">
      <c r="A13" s="80"/>
      <c r="B13" s="80"/>
      <c r="C13" s="81"/>
      <c r="D13" s="80"/>
    </row>
    <row r="14" spans="1:12">
      <c r="A14" s="83"/>
      <c r="B14" s="83"/>
      <c r="D14" s="83"/>
      <c r="E14" s="83"/>
    </row>
    <row r="15" spans="1:12">
      <c r="A15" s="83"/>
      <c r="B15" s="83"/>
      <c r="D15" s="83"/>
      <c r="E15" s="83"/>
    </row>
    <row r="16" spans="1:12">
      <c r="A16" s="83"/>
      <c r="B16" s="83"/>
      <c r="D16" s="83"/>
      <c r="E16" s="83"/>
    </row>
    <row r="35" spans="4:4">
      <c r="D35" s="84"/>
    </row>
    <row r="36" spans="4:4">
      <c r="D36" s="83"/>
    </row>
    <row r="37" spans="4:4">
      <c r="D37" s="83"/>
    </row>
    <row r="38" spans="4:4">
      <c r="D38" s="85"/>
    </row>
  </sheetData>
  <autoFilter ref="A1:I1"/>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sheetPr codeName="Sheet5"/>
  <dimension ref="A1:V25"/>
  <sheetViews>
    <sheetView showRowColHeaders="0" workbookViewId="0">
      <selection activeCell="B3" sqref="B3:K16"/>
    </sheetView>
  </sheetViews>
  <sheetFormatPr defaultRowHeight="15"/>
  <cols>
    <col min="1" max="1" width="4.42578125" customWidth="1"/>
    <col min="12" max="12" width="4.5703125" customWidth="1"/>
    <col min="22" max="22" width="6" customWidth="1"/>
  </cols>
  <sheetData>
    <row r="1" spans="1:22">
      <c r="A1" s="168"/>
      <c r="B1" s="171" t="s">
        <v>29</v>
      </c>
      <c r="C1" s="172"/>
      <c r="D1" s="172"/>
      <c r="E1" s="172"/>
      <c r="F1" s="172"/>
      <c r="G1" s="172"/>
      <c r="H1" s="172"/>
      <c r="I1" s="172"/>
      <c r="J1" s="172"/>
      <c r="K1" s="172"/>
      <c r="L1" s="3"/>
      <c r="M1" s="169" t="s">
        <v>31</v>
      </c>
      <c r="N1" s="170"/>
      <c r="O1" s="170"/>
      <c r="P1" s="170"/>
      <c r="Q1" s="170"/>
      <c r="R1" s="170"/>
      <c r="S1" s="170"/>
      <c r="T1" s="170"/>
      <c r="U1" s="170"/>
      <c r="V1" s="170"/>
    </row>
    <row r="2" spans="1:22">
      <c r="A2" s="168"/>
      <c r="B2" s="172"/>
      <c r="C2" s="172"/>
      <c r="D2" s="172"/>
      <c r="E2" s="172"/>
      <c r="F2" s="172"/>
      <c r="G2" s="172"/>
      <c r="H2" s="172"/>
      <c r="I2" s="172"/>
      <c r="J2" s="172"/>
      <c r="K2" s="172"/>
      <c r="L2" s="3"/>
      <c r="M2" s="170"/>
      <c r="N2" s="170"/>
      <c r="O2" s="170"/>
      <c r="P2" s="170"/>
      <c r="Q2" s="170"/>
      <c r="R2" s="170"/>
      <c r="S2" s="170"/>
      <c r="T2" s="170"/>
      <c r="U2" s="170"/>
      <c r="V2" s="170"/>
    </row>
    <row r="3" spans="1:22" ht="15" customHeight="1">
      <c r="A3" s="168"/>
      <c r="B3" s="173" t="s">
        <v>61</v>
      </c>
      <c r="C3" s="173"/>
      <c r="D3" s="173"/>
      <c r="E3" s="173"/>
      <c r="F3" s="173"/>
      <c r="G3" s="173"/>
      <c r="H3" s="173"/>
      <c r="I3" s="173"/>
      <c r="J3" s="173"/>
      <c r="K3" s="173"/>
      <c r="L3" s="3"/>
      <c r="M3" s="4"/>
      <c r="N3" s="4"/>
      <c r="O3" s="4"/>
      <c r="P3" s="4"/>
      <c r="Q3" s="4"/>
      <c r="R3" s="4"/>
      <c r="S3" s="4"/>
      <c r="T3" s="4"/>
      <c r="U3" s="4"/>
      <c r="V3" s="3"/>
    </row>
    <row r="4" spans="1:22" ht="15" customHeight="1">
      <c r="A4" s="168"/>
      <c r="B4" s="173"/>
      <c r="C4" s="173"/>
      <c r="D4" s="173"/>
      <c r="E4" s="173"/>
      <c r="F4" s="173"/>
      <c r="G4" s="173"/>
      <c r="H4" s="173"/>
      <c r="I4" s="173"/>
      <c r="J4" s="173"/>
      <c r="K4" s="173"/>
      <c r="L4" s="3"/>
      <c r="M4" s="4"/>
      <c r="N4" s="4"/>
      <c r="O4" s="4"/>
      <c r="P4" s="4"/>
      <c r="Q4" s="4"/>
      <c r="R4" s="4"/>
      <c r="S4" s="4"/>
      <c r="T4" s="4"/>
      <c r="U4" s="4"/>
      <c r="V4" s="3"/>
    </row>
    <row r="5" spans="1:22" ht="15" customHeight="1">
      <c r="A5" s="168"/>
      <c r="B5" s="173"/>
      <c r="C5" s="173"/>
      <c r="D5" s="173"/>
      <c r="E5" s="173"/>
      <c r="F5" s="173"/>
      <c r="G5" s="173"/>
      <c r="H5" s="173"/>
      <c r="I5" s="173"/>
      <c r="J5" s="173"/>
      <c r="K5" s="173"/>
      <c r="L5" s="3"/>
      <c r="M5" s="4"/>
      <c r="N5" s="4"/>
      <c r="O5" s="4"/>
      <c r="P5" s="4"/>
      <c r="Q5" s="4"/>
      <c r="R5" s="4"/>
      <c r="S5" s="4"/>
      <c r="T5" s="4"/>
      <c r="U5" s="4"/>
      <c r="V5" s="3"/>
    </row>
    <row r="6" spans="1:22" ht="15" customHeight="1">
      <c r="A6" s="168"/>
      <c r="B6" s="173"/>
      <c r="C6" s="173"/>
      <c r="D6" s="173"/>
      <c r="E6" s="173"/>
      <c r="F6" s="173"/>
      <c r="G6" s="173"/>
      <c r="H6" s="173"/>
      <c r="I6" s="173"/>
      <c r="J6" s="173"/>
      <c r="K6" s="173"/>
      <c r="L6" s="3"/>
      <c r="M6" s="4"/>
      <c r="N6" s="4"/>
      <c r="O6" s="4"/>
      <c r="P6" s="4"/>
      <c r="Q6" s="4"/>
      <c r="R6" s="4"/>
      <c r="S6" s="4"/>
      <c r="T6" s="4"/>
      <c r="U6" s="4"/>
      <c r="V6" s="3"/>
    </row>
    <row r="7" spans="1:22" ht="15" customHeight="1">
      <c r="A7" s="168"/>
      <c r="B7" s="173"/>
      <c r="C7" s="173"/>
      <c r="D7" s="173"/>
      <c r="E7" s="173"/>
      <c r="F7" s="173"/>
      <c r="G7" s="173"/>
      <c r="H7" s="173"/>
      <c r="I7" s="173"/>
      <c r="J7" s="173"/>
      <c r="K7" s="173"/>
      <c r="L7" s="3"/>
      <c r="M7" s="4"/>
      <c r="N7" s="4"/>
      <c r="O7" s="4"/>
      <c r="P7" s="4"/>
      <c r="Q7" s="4"/>
      <c r="R7" s="4"/>
      <c r="S7" s="4"/>
      <c r="T7" s="4"/>
      <c r="U7" s="4"/>
      <c r="V7" s="3"/>
    </row>
    <row r="8" spans="1:22" ht="15" customHeight="1">
      <c r="A8" s="168"/>
      <c r="B8" s="173"/>
      <c r="C8" s="173"/>
      <c r="D8" s="173"/>
      <c r="E8" s="173"/>
      <c r="F8" s="173"/>
      <c r="G8" s="173"/>
      <c r="H8" s="173"/>
      <c r="I8" s="173"/>
      <c r="J8" s="173"/>
      <c r="K8" s="173"/>
      <c r="L8" s="3"/>
      <c r="M8" s="4"/>
      <c r="N8" s="4"/>
      <c r="O8" s="4"/>
      <c r="P8" s="4"/>
      <c r="Q8" s="4"/>
      <c r="R8" s="4"/>
      <c r="S8" s="4"/>
      <c r="T8" s="4"/>
      <c r="U8" s="4"/>
      <c r="V8" s="3"/>
    </row>
    <row r="9" spans="1:22" ht="15" customHeight="1">
      <c r="A9" s="168"/>
      <c r="B9" s="173"/>
      <c r="C9" s="173"/>
      <c r="D9" s="173"/>
      <c r="E9" s="173"/>
      <c r="F9" s="173"/>
      <c r="G9" s="173"/>
      <c r="H9" s="173"/>
      <c r="I9" s="173"/>
      <c r="J9" s="173"/>
      <c r="K9" s="173"/>
      <c r="L9" s="3"/>
      <c r="M9" s="4"/>
      <c r="N9" s="4"/>
      <c r="O9" s="4"/>
      <c r="P9" s="4"/>
      <c r="Q9" s="4"/>
      <c r="R9" s="4"/>
      <c r="S9" s="4"/>
      <c r="T9" s="4"/>
      <c r="U9" s="4"/>
      <c r="V9" s="3"/>
    </row>
    <row r="10" spans="1:22" ht="15" customHeight="1">
      <c r="A10" s="168"/>
      <c r="B10" s="173"/>
      <c r="C10" s="173"/>
      <c r="D10" s="173"/>
      <c r="E10" s="173"/>
      <c r="F10" s="173"/>
      <c r="G10" s="173"/>
      <c r="H10" s="173"/>
      <c r="I10" s="173"/>
      <c r="J10" s="173"/>
      <c r="K10" s="173"/>
      <c r="L10" s="3"/>
      <c r="M10" s="4"/>
      <c r="N10" s="5"/>
      <c r="O10" s="4"/>
      <c r="P10" s="4"/>
      <c r="Q10" s="4"/>
      <c r="R10" s="4"/>
      <c r="S10" s="4"/>
      <c r="T10" s="4"/>
      <c r="U10" s="4"/>
      <c r="V10" s="3"/>
    </row>
    <row r="11" spans="1:22" ht="15" customHeight="1">
      <c r="A11" s="168"/>
      <c r="B11" s="173"/>
      <c r="C11" s="173"/>
      <c r="D11" s="173"/>
      <c r="E11" s="173"/>
      <c r="F11" s="173"/>
      <c r="G11" s="173"/>
      <c r="H11" s="173"/>
      <c r="I11" s="173"/>
      <c r="J11" s="173"/>
      <c r="K11" s="173"/>
      <c r="L11" s="3"/>
      <c r="M11" s="4"/>
      <c r="N11" s="4"/>
      <c r="O11" s="4"/>
      <c r="P11" s="4"/>
      <c r="Q11" s="4"/>
      <c r="R11" s="4"/>
      <c r="S11" s="4"/>
      <c r="T11" s="4"/>
      <c r="U11" s="4"/>
      <c r="V11" s="3"/>
    </row>
    <row r="12" spans="1:22" ht="15" customHeight="1">
      <c r="A12" s="168"/>
      <c r="B12" s="173"/>
      <c r="C12" s="173"/>
      <c r="D12" s="173"/>
      <c r="E12" s="173"/>
      <c r="F12" s="173"/>
      <c r="G12" s="173"/>
      <c r="H12" s="173"/>
      <c r="I12" s="173"/>
      <c r="J12" s="173"/>
      <c r="K12" s="173"/>
      <c r="L12" s="3"/>
      <c r="M12" s="4"/>
      <c r="N12" s="4"/>
      <c r="O12" s="4"/>
      <c r="P12" s="4"/>
      <c r="Q12" s="4"/>
      <c r="R12" s="4"/>
      <c r="S12" s="4"/>
      <c r="T12" s="4"/>
      <c r="U12" s="4"/>
      <c r="V12" s="3"/>
    </row>
    <row r="13" spans="1:22" ht="15" customHeight="1">
      <c r="A13" s="168"/>
      <c r="B13" s="173"/>
      <c r="C13" s="173"/>
      <c r="D13" s="173"/>
      <c r="E13" s="173"/>
      <c r="F13" s="173"/>
      <c r="G13" s="173"/>
      <c r="H13" s="173"/>
      <c r="I13" s="173"/>
      <c r="J13" s="173"/>
      <c r="K13" s="173"/>
      <c r="L13" s="3"/>
      <c r="M13" s="4"/>
      <c r="N13" s="4"/>
      <c r="O13" s="4"/>
      <c r="P13" s="4"/>
      <c r="Q13" s="4"/>
      <c r="R13" s="4"/>
      <c r="S13" s="4"/>
      <c r="T13" s="4"/>
      <c r="U13" s="4"/>
      <c r="V13" s="3"/>
    </row>
    <row r="14" spans="1:22" ht="15" customHeight="1">
      <c r="A14" s="168"/>
      <c r="B14" s="173"/>
      <c r="C14" s="173"/>
      <c r="D14" s="173"/>
      <c r="E14" s="173"/>
      <c r="F14" s="173"/>
      <c r="G14" s="173"/>
      <c r="H14" s="173"/>
      <c r="I14" s="173"/>
      <c r="J14" s="173"/>
      <c r="K14" s="173"/>
      <c r="L14" s="3"/>
      <c r="M14" s="4"/>
      <c r="N14" s="4"/>
      <c r="O14" s="4"/>
      <c r="P14" s="4"/>
      <c r="Q14" s="4"/>
      <c r="R14" s="4"/>
      <c r="S14" s="4"/>
      <c r="T14" s="4"/>
      <c r="U14" s="4"/>
      <c r="V14" s="3"/>
    </row>
    <row r="15" spans="1:22" ht="15" customHeight="1">
      <c r="A15" s="168"/>
      <c r="B15" s="173"/>
      <c r="C15" s="173"/>
      <c r="D15" s="173"/>
      <c r="E15" s="173"/>
      <c r="F15" s="173"/>
      <c r="G15" s="173"/>
      <c r="H15" s="173"/>
      <c r="I15" s="173"/>
      <c r="J15" s="173"/>
      <c r="K15" s="173"/>
      <c r="L15" s="3"/>
      <c r="M15" s="167" t="s">
        <v>33</v>
      </c>
      <c r="N15" s="167"/>
      <c r="O15" s="167"/>
      <c r="P15" s="167"/>
      <c r="Q15" s="167"/>
      <c r="R15" s="167"/>
      <c r="S15" s="167"/>
      <c r="T15" s="167"/>
      <c r="U15" s="167"/>
      <c r="V15" s="3"/>
    </row>
    <row r="16" spans="1:22" ht="15" customHeight="1">
      <c r="A16" s="168"/>
      <c r="B16" s="173"/>
      <c r="C16" s="173"/>
      <c r="D16" s="173"/>
      <c r="E16" s="173"/>
      <c r="F16" s="173"/>
      <c r="G16" s="173"/>
      <c r="H16" s="173"/>
      <c r="I16" s="173"/>
      <c r="J16" s="173"/>
      <c r="K16" s="173"/>
      <c r="L16" s="3"/>
      <c r="M16" s="167"/>
      <c r="N16" s="167"/>
      <c r="O16" s="167"/>
      <c r="P16" s="167"/>
      <c r="Q16" s="167"/>
      <c r="R16" s="167"/>
      <c r="S16" s="167"/>
      <c r="T16" s="167"/>
      <c r="U16" s="167"/>
      <c r="V16" s="3"/>
    </row>
    <row r="17" spans="1:22" ht="15" customHeight="1">
      <c r="A17" s="168"/>
      <c r="B17" s="171" t="s">
        <v>30</v>
      </c>
      <c r="C17" s="172"/>
      <c r="D17" s="172"/>
      <c r="E17" s="172"/>
      <c r="F17" s="172"/>
      <c r="G17" s="172"/>
      <c r="H17" s="172"/>
      <c r="I17" s="172"/>
      <c r="J17" s="172"/>
      <c r="K17" s="172"/>
      <c r="L17" s="3"/>
      <c r="M17" s="167"/>
      <c r="N17" s="167"/>
      <c r="O17" s="167"/>
      <c r="P17" s="167"/>
      <c r="Q17" s="167"/>
      <c r="R17" s="167"/>
      <c r="S17" s="167"/>
      <c r="T17" s="167"/>
      <c r="U17" s="167"/>
      <c r="V17" s="3"/>
    </row>
    <row r="18" spans="1:22" ht="15" customHeight="1">
      <c r="A18" s="168"/>
      <c r="B18" s="172"/>
      <c r="C18" s="172"/>
      <c r="D18" s="172"/>
      <c r="E18" s="172"/>
      <c r="F18" s="172"/>
      <c r="G18" s="172"/>
      <c r="H18" s="172"/>
      <c r="I18" s="172"/>
      <c r="J18" s="172"/>
      <c r="K18" s="172"/>
      <c r="L18" s="3"/>
      <c r="M18" s="167"/>
      <c r="N18" s="167"/>
      <c r="O18" s="167"/>
      <c r="P18" s="167"/>
      <c r="Q18" s="167"/>
      <c r="R18" s="167"/>
      <c r="S18" s="167"/>
      <c r="T18" s="167"/>
      <c r="U18" s="167"/>
      <c r="V18" s="3"/>
    </row>
    <row r="19" spans="1:22" ht="15" customHeight="1">
      <c r="A19" s="168"/>
      <c r="B19" s="174" t="s">
        <v>62</v>
      </c>
      <c r="C19" s="175"/>
      <c r="D19" s="175"/>
      <c r="E19" s="175"/>
      <c r="F19" s="175"/>
      <c r="G19" s="175"/>
      <c r="H19" s="175"/>
      <c r="I19" s="175"/>
      <c r="J19" s="175"/>
      <c r="K19" s="175"/>
      <c r="L19" s="3"/>
      <c r="M19" s="167"/>
      <c r="N19" s="167"/>
      <c r="O19" s="167"/>
      <c r="P19" s="167"/>
      <c r="Q19" s="167"/>
      <c r="R19" s="167"/>
      <c r="S19" s="167"/>
      <c r="T19" s="167"/>
      <c r="U19" s="167"/>
      <c r="V19" s="3"/>
    </row>
    <row r="20" spans="1:22" ht="15" customHeight="1">
      <c r="A20" s="168"/>
      <c r="B20" s="175"/>
      <c r="C20" s="175"/>
      <c r="D20" s="175"/>
      <c r="E20" s="175"/>
      <c r="F20" s="175"/>
      <c r="G20" s="175"/>
      <c r="H20" s="175"/>
      <c r="I20" s="175"/>
      <c r="J20" s="175"/>
      <c r="K20" s="175"/>
      <c r="L20" s="3"/>
      <c r="M20" s="167"/>
      <c r="N20" s="167"/>
      <c r="O20" s="167"/>
      <c r="P20" s="167"/>
      <c r="Q20" s="167"/>
      <c r="R20" s="167"/>
      <c r="S20" s="167"/>
      <c r="T20" s="167"/>
      <c r="U20" s="167"/>
      <c r="V20" s="3"/>
    </row>
    <row r="21" spans="1:22" ht="15" customHeight="1">
      <c r="A21" s="168"/>
      <c r="B21" s="175"/>
      <c r="C21" s="175"/>
      <c r="D21" s="175"/>
      <c r="E21" s="175"/>
      <c r="F21" s="175"/>
      <c r="G21" s="175"/>
      <c r="H21" s="175"/>
      <c r="I21" s="175"/>
      <c r="J21" s="175"/>
      <c r="K21" s="175"/>
      <c r="L21" s="3"/>
      <c r="M21" s="166" t="s">
        <v>32</v>
      </c>
      <c r="N21" s="166"/>
      <c r="O21" s="166"/>
      <c r="P21" s="166"/>
      <c r="Q21" s="166"/>
      <c r="R21" s="166"/>
      <c r="S21" s="166"/>
      <c r="T21" s="166"/>
      <c r="U21" s="166"/>
      <c r="V21" s="3"/>
    </row>
    <row r="22" spans="1:22" ht="15" customHeight="1">
      <c r="A22" s="168"/>
      <c r="B22" s="175"/>
      <c r="C22" s="175"/>
      <c r="D22" s="175"/>
      <c r="E22" s="175"/>
      <c r="F22" s="175"/>
      <c r="G22" s="175"/>
      <c r="H22" s="175"/>
      <c r="I22" s="175"/>
      <c r="J22" s="175"/>
      <c r="K22" s="175"/>
      <c r="L22" s="3"/>
      <c r="M22" s="166"/>
      <c r="N22" s="166"/>
      <c r="O22" s="166"/>
      <c r="P22" s="166"/>
      <c r="Q22" s="166"/>
      <c r="R22" s="166"/>
      <c r="S22" s="166"/>
      <c r="T22" s="166"/>
      <c r="U22" s="166"/>
      <c r="V22" s="3"/>
    </row>
    <row r="23" spans="1:22" ht="15" customHeight="1">
      <c r="A23" s="168"/>
      <c r="B23" s="175"/>
      <c r="C23" s="175"/>
      <c r="D23" s="175"/>
      <c r="E23" s="175"/>
      <c r="F23" s="175"/>
      <c r="G23" s="175"/>
      <c r="H23" s="175"/>
      <c r="I23" s="175"/>
      <c r="J23" s="175"/>
      <c r="K23" s="175"/>
      <c r="L23" s="3"/>
      <c r="M23" s="166"/>
      <c r="N23" s="166"/>
      <c r="O23" s="166"/>
      <c r="P23" s="166"/>
      <c r="Q23" s="166"/>
      <c r="R23" s="166"/>
      <c r="S23" s="166"/>
      <c r="T23" s="166"/>
      <c r="U23" s="166"/>
      <c r="V23" s="3"/>
    </row>
    <row r="24" spans="1:22" ht="15" customHeight="1">
      <c r="A24" s="168"/>
      <c r="B24" s="175"/>
      <c r="C24" s="175"/>
      <c r="D24" s="175"/>
      <c r="E24" s="175"/>
      <c r="F24" s="175"/>
      <c r="G24" s="175"/>
      <c r="H24" s="175"/>
      <c r="I24" s="175"/>
      <c r="J24" s="175"/>
      <c r="K24" s="175"/>
      <c r="L24" s="3"/>
      <c r="M24" s="166"/>
      <c r="N24" s="166"/>
      <c r="O24" s="166"/>
      <c r="P24" s="166"/>
      <c r="Q24" s="166"/>
      <c r="R24" s="166"/>
      <c r="S24" s="166"/>
      <c r="T24" s="166"/>
      <c r="U24" s="166"/>
      <c r="V24" s="3"/>
    </row>
    <row r="25" spans="1:22">
      <c r="A25" s="168"/>
      <c r="B25" s="168"/>
      <c r="C25" s="168"/>
      <c r="D25" s="168"/>
      <c r="E25" s="168"/>
      <c r="F25" s="168"/>
      <c r="G25" s="168"/>
      <c r="H25" s="168"/>
      <c r="I25" s="168"/>
      <c r="J25" s="168"/>
      <c r="K25" s="168"/>
      <c r="L25" s="3"/>
      <c r="M25" s="3"/>
      <c r="N25" s="3"/>
      <c r="O25" s="3"/>
      <c r="P25" s="3"/>
      <c r="Q25" s="3"/>
      <c r="R25" s="3"/>
      <c r="S25" s="3"/>
      <c r="T25" s="3"/>
      <c r="U25" s="3"/>
      <c r="V25" s="3"/>
    </row>
  </sheetData>
  <sheetProtection password="E90E" sheet="1" objects="1" scenarios="1"/>
  <mergeCells count="9">
    <mergeCell ref="M21:U24"/>
    <mergeCell ref="M15:U20"/>
    <mergeCell ref="A25:K25"/>
    <mergeCell ref="M1:V2"/>
    <mergeCell ref="B1:K2"/>
    <mergeCell ref="B3:K16"/>
    <mergeCell ref="B19:K24"/>
    <mergeCell ref="B17:K18"/>
    <mergeCell ref="A1:A24"/>
  </mergeCell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3</vt:i4>
      </vt:variant>
    </vt:vector>
  </HeadingPairs>
  <TitlesOfParts>
    <vt:vector size="8" baseType="lpstr">
      <vt:lpstr>My_Sheet</vt:lpstr>
      <vt:lpstr>Customers</vt:lpstr>
      <vt:lpstr>Products</vt:lpstr>
      <vt:lpstr>Sales Report</vt:lpstr>
      <vt:lpstr>INSTRUCTIONS &amp; DEVELOPER INFO</vt:lpstr>
      <vt:lpstr>CUSTOMER</vt:lpstr>
      <vt:lpstr>My_Sheet!Print_Area</vt:lpstr>
      <vt:lpstr>PRODUCTS</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Stanley Roy</dc:creator>
  <cp:lastModifiedBy>Selva</cp:lastModifiedBy>
  <cp:lastPrinted>2020-05-20T19:14:00Z</cp:lastPrinted>
  <dcterms:created xsi:type="dcterms:W3CDTF">2019-10-15T06:05:28Z</dcterms:created>
  <dcterms:modified xsi:type="dcterms:W3CDTF">2020-05-26T07:01:49Z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4367a7db-5f8a-4e38-b983-e42187846ea9</vt:lpwstr>
  </property>
</Properties>
</file>